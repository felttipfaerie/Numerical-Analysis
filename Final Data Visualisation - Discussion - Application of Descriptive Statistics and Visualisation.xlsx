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gories" sheetId="1" r:id="rId5"/>
    <sheet state="visible" name="strongest opinions" sheetId="2" r:id="rId6"/>
    <sheet state="visible" name="Copy of Sheet3" sheetId="3" r:id="rId7"/>
    <sheet state="visible" name="Sheet3" sheetId="4" r:id="rId8"/>
    <sheet state="visible" name="Choice" sheetId="5" r:id="rId9"/>
    <sheet state="visible" name="discouraged" sheetId="6" r:id="rId10"/>
    <sheet state="visible" name="master-data" sheetId="7" r:id="rId11"/>
  </sheets>
  <definedNames/>
  <calcPr/>
</workbook>
</file>

<file path=xl/sharedStrings.xml><?xml version="1.0" encoding="utf-8"?>
<sst xmlns="http://schemas.openxmlformats.org/spreadsheetml/2006/main" count="166" uniqueCount="60">
  <si>
    <t>Statement</t>
  </si>
  <si>
    <t>Agree</t>
  </si>
  <si>
    <t>Difference</t>
  </si>
  <si>
    <t>No opinion</t>
  </si>
  <si>
    <t>Diffrence</t>
  </si>
  <si>
    <t>Disagree</t>
  </si>
  <si>
    <t>Diffrence 2</t>
  </si>
  <si>
    <t>Highest</t>
  </si>
  <si>
    <t>Column 1</t>
  </si>
  <si>
    <t>Those general practitioners who wish to provide care throughout pregnancy, labour, and the puerperium should be enabled to do so</t>
  </si>
  <si>
    <t>I am discouraged from offering intrapartum care by: My current workload</t>
  </si>
  <si>
    <t>Obstetricians should be used primarily to provide expertise for those women who have complicated pregnancies</t>
  </si>
  <si>
    <t>Vocational obstetric training at senior house officer level should concentrate on the normal and those aspects of abnormality that can be dealt with by general practitioners</t>
  </si>
  <si>
    <t>I am discouraged from offering intrapartum care by: Disruption of my personal life</t>
  </si>
  <si>
    <t>A duty should be placed on general practitioners to have in place arrangements for women to have a home confinement</t>
  </si>
  <si>
    <t>Agree %</t>
  </si>
  <si>
    <t>No Opinion %</t>
  </si>
  <si>
    <t>Disagree %</t>
  </si>
  <si>
    <t>Most maternity care should be community based and near to the women's home</t>
  </si>
  <si>
    <t>I am discouraged from offering intrapartum care by</t>
  </si>
  <si>
    <t>It is wrong to remove a woman from a general practitioner list solely because she wishes to have a home confinement or midwifery only care</t>
  </si>
  <si>
    <t>There is potential for a damaging demarcation dispute between the professional groups over how labour should be supervised</t>
  </si>
  <si>
    <t xml:space="preserve"> My lack of confidence</t>
  </si>
  <si>
    <t>Total</t>
  </si>
  <si>
    <t>Midwives should carry out the routine examination of apparently healthy newborn infants, provided they are well trained in the detection of congenital abnormalities and the subtle signs of impending illness</t>
  </si>
  <si>
    <t>Deviation Agree</t>
  </si>
  <si>
    <t>I am discouraged from offering intrapartum care by: Fear of litigation</t>
  </si>
  <si>
    <t>Deviation No Opinion</t>
  </si>
  <si>
    <t>Deviation Disagree</t>
  </si>
  <si>
    <t>Lack of hospital based general practitioner obstetric facilities</t>
  </si>
  <si>
    <t>There is no potential for a damaging demarcation dispute between the professional groups over how labour should be supervised</t>
  </si>
  <si>
    <t>Ideally, I would like to be able to offer more intrapartum care to my patients</t>
  </si>
  <si>
    <t>I believe that I am sufficiently competent in obstetrics to be able to offer intrapartum care to my patients</t>
  </si>
  <si>
    <t>Vocational training for general practitioners in obstetrics needs to be radically altered</t>
  </si>
  <si>
    <t>The policy of encouraging all women to give birth in hospital can be justified on the grounds of safety</t>
  </si>
  <si>
    <t xml:space="preserve"> Fear of litigation</t>
  </si>
  <si>
    <t>A new system of remuneration for general practitioners for maternity care should be heavily weighted towards rewarding those who provide intrapartum care</t>
  </si>
  <si>
    <t>The policy of encouraging all women to give birth in hospital cannot be justified on the grounds of safety</t>
  </si>
  <si>
    <t>There is widespread demand among women for greater choice in the type of maternity care they receive</t>
  </si>
  <si>
    <t>The item of service payments to general practitioners for maternity care, as presently operated, should not be abandoned and redesigned</t>
  </si>
  <si>
    <t xml:space="preserve"> Rate of remuneration for intrapartum care</t>
  </si>
  <si>
    <t>Vocational training for general practitioners in obstetrics does not need to be radically altered</t>
  </si>
  <si>
    <t>The item of service payments to general practitioners for maternity care, as presently operated, should be abandoned and redesigned</t>
  </si>
  <si>
    <t xml:space="preserve"> Disruption of my personal life</t>
  </si>
  <si>
    <t xml:space="preserve"> Attitudes of my fellow partners</t>
  </si>
  <si>
    <t>Women should be able to choose where they would like their baby to be born</t>
  </si>
  <si>
    <t>I am discouraged from offering intrapartum care by: My lack of confidence</t>
  </si>
  <si>
    <t>Vocational training for general practitioners in obstetrics does not need</t>
  </si>
  <si>
    <t xml:space="preserve"> My current workload</t>
  </si>
  <si>
    <t>Women with uncomplicated pregnancy should be able to book with a midwife as the lead professional for all their maternity care</t>
  </si>
  <si>
    <t>I am discouraged from offering intrapartum care by: Lack of hospital based general practitioner obstetric facilities</t>
  </si>
  <si>
    <t>I am discouraged from offering intrapartum care by: Rate of remuneration for intrapartum care</t>
  </si>
  <si>
    <t>I am discouraged from offering intrapartum care by: Attitudes of my fellow partners</t>
  </si>
  <si>
    <t>Mean</t>
  </si>
  <si>
    <t>%</t>
  </si>
  <si>
    <t>% 2</t>
  </si>
  <si>
    <t>% 3</t>
  </si>
  <si>
    <t>I am discouraged from offering intrapartum care by:</t>
  </si>
  <si>
    <t>No Opinion</t>
  </si>
  <si>
    <t xml:space="preserve"> Lack of hospital based general practitioner obstetric facilities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</si>
</sst>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442F65"/>
      </left>
      <right style="thin">
        <color rgb="FFFFFFFF"/>
      </right>
      <top style="thin">
        <color rgb="FF442F65"/>
      </top>
      <bottom style="thin">
        <color rgb="FFF6F8F9"/>
      </bottom>
    </border>
    <border>
      <left style="thin">
        <color rgb="FF442F65"/>
      </left>
      <right style="thin">
        <color rgb="FFF6F8F9"/>
      </right>
      <bottom style="thin">
        <color rgb="FFF6F8F9"/>
      </bottom>
    </border>
    <border>
      <left style="thin">
        <color rgb="FF442F65"/>
      </left>
      <right style="thin">
        <color rgb="FFFFFFFF"/>
      </right>
      <bottom style="thin">
        <color rgb="FFF6F8F9"/>
      </bottom>
    </border>
    <border>
      <left style="thin">
        <color rgb="FF442F65"/>
      </left>
      <right style="thin">
        <color rgb="FFFFFFFF"/>
      </right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1"/>
    </xf>
    <xf borderId="2" fillId="3" fontId="3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3" fillId="2" fontId="3" numFmtId="0" xfId="0" applyAlignment="1" applyBorder="1" applyFill="1" applyFont="1">
      <alignment readingOrder="0" shrinkToFit="0" vertical="center" wrapText="1"/>
    </xf>
    <xf borderId="4" fillId="2" fontId="3" numFmtId="0" xfId="0" applyAlignment="1" applyBorder="1" applyFill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</dxfs>
  <tableStyles count="9">
    <tableStyle count="4" pivot="0" name="strongest opin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ago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agories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atagories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5" pivot="0" name="Copy of Sheet3-style">
      <tableStyleElement dxfId="1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5" pivot="0" name="Sheet3-style">
      <tableStyleElement dxfId="1" type="headerRow"/>
      <tableStyleElement dxfId="2" type="firstRowStripe"/>
      <tableStyleElement dxfId="3" type="secondRowStripe"/>
      <tableStyleElement dxfId="6" type="totalRow"/>
      <tableStyleElement dxfId="4" size="0" type="wholeTable"/>
    </tableStyle>
    <tableStyle count="4" pivot="0" name="master-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couraged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hoi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Current Infrastructure and Technical Capabilities</a:t>
            </a:r>
          </a:p>
        </c:rich>
      </c:tx>
      <c:overlay val="0"/>
    </c:title>
    <c:plotArea>
      <c:layout>
        <c:manualLayout>
          <c:xMode val="edge"/>
          <c:yMode val="edge"/>
          <c:x val="0.4177018633540371"/>
          <c:y val="0.20292003593890387"/>
          <c:w val="0.5585769090244795"/>
          <c:h val="0.6985624438454625"/>
        </c:manualLayout>
      </c:layout>
      <c:barChart>
        <c:barDir val="bar"/>
        <c:grouping val="percentStacked"/>
        <c:ser>
          <c:idx val="0"/>
          <c:order val="0"/>
          <c:tx>
            <c:v>Agree</c:v>
          </c:tx>
          <c:spPr>
            <a:solidFill>
              <a:srgbClr val="F6B26B"/>
            </a:solidFill>
            <a:ln cmpd="sng">
              <a:noFill/>
            </a:ln>
          </c:spPr>
          <c:invertIfNegative val="0"/>
          <c:dPt>
            <c:idx val="0"/>
          </c:dPt>
          <c:dPt>
            <c:idx val="2"/>
          </c:dPt>
          <c:cat>
            <c:strRef>
              <c:f>Catagories!$A$2:$A$18</c:f>
            </c:strRef>
          </c:cat>
          <c:val>
            <c:numRef>
              <c:f>Catagories!$C$2:$C$18</c:f>
              <c:numCache/>
            </c:numRef>
          </c:val>
        </c:ser>
        <c:ser>
          <c:idx val="1"/>
          <c:order val="1"/>
          <c:tx>
            <c:v>No Opinion</c:v>
          </c:tx>
          <c:spPr>
            <a:solidFill>
              <a:srgbClr val="CCCCCC"/>
            </a:solidFill>
            <a:ln cmpd="sng">
              <a:noFill/>
            </a:ln>
          </c:spPr>
          <c:invertIfNegative val="0"/>
          <c:dPt>
            <c:idx val="0"/>
          </c:dPt>
          <c:cat>
            <c:strRef>
              <c:f>Catagories!$A$2:$A$18</c:f>
            </c:strRef>
          </c:cat>
          <c:val>
            <c:numRef>
              <c:f>Catagories!$E$2:$E$18</c:f>
              <c:numCache/>
            </c:numRef>
          </c:val>
        </c:ser>
        <c:ser>
          <c:idx val="2"/>
          <c:order val="2"/>
          <c:tx>
            <c:v>Disagree</c:v>
          </c:tx>
          <c:spPr>
            <a:solidFill>
              <a:srgbClr val="8E7CC3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8E7CC3"/>
              </a:solidFill>
              <a:ln cmpd="sng">
                <a:noFill/>
              </a:ln>
            </c:spPr>
          </c:dPt>
          <c:cat>
            <c:strRef>
              <c:f>Catagories!$A$2:$A$18</c:f>
            </c:strRef>
          </c:cat>
          <c:val>
            <c:numRef>
              <c:f>Catagories!$G$2:$G$18</c:f>
              <c:numCache/>
            </c:numRef>
          </c:val>
        </c:ser>
        <c:overlap val="100"/>
        <c:axId val="224394255"/>
        <c:axId val="1050614148"/>
      </c:barChart>
      <c:catAx>
        <c:axId val="22439425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614148"/>
      </c:catAx>
      <c:valAx>
        <c:axId val="10506141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39425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Agree and Disagree - ordered by strongest to weakest opinion</a:t>
            </a:r>
          </a:p>
        </c:rich>
      </c:tx>
      <c:overlay val="0"/>
    </c:title>
    <c:plotArea>
      <c:layout>
        <c:manualLayout>
          <c:xMode val="edge"/>
          <c:yMode val="edge"/>
          <c:x val="0.5958520179372198"/>
          <c:y val="0.20292003593890387"/>
          <c:w val="0.3732313153961136"/>
          <c:h val="0.6985624438454626"/>
        </c:manualLayout>
      </c:layout>
      <c:barChart>
        <c:barDir val="bar"/>
        <c:ser>
          <c:idx val="0"/>
          <c:order val="0"/>
          <c:tx>
            <c:strRef>
              <c:f>'Copy of Sheet3'!$B$1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'Copy of Sheet3'!$A$2:$A$9</c:f>
            </c:strRef>
          </c:cat>
          <c:val>
            <c:numRef>
              <c:f>'Copy of Sheet3'!$B$2:$B$9</c:f>
              <c:numCache/>
            </c:numRef>
          </c:val>
        </c:ser>
        <c:ser>
          <c:idx val="1"/>
          <c:order val="1"/>
          <c:tx>
            <c:strRef>
              <c:f>'Copy of Sheet3'!$C$1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'Copy of Sheet3'!$A$2:$A$9</c:f>
            </c:strRef>
          </c:cat>
          <c:val>
            <c:numRef>
              <c:f>'Copy of Sheet3'!$C$2:$C$9</c:f>
              <c:numCache/>
            </c:numRef>
          </c:val>
        </c:ser>
        <c:axId val="1271115564"/>
        <c:axId val="1911387401"/>
      </c:barChart>
      <c:catAx>
        <c:axId val="127111556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387401"/>
      </c:catAx>
      <c:valAx>
        <c:axId val="19113874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115564"/>
        <c:crosses val="max"/>
      </c:valAx>
    </c:plotArea>
    <c:legend>
      <c:legendPos val="r"/>
      <c:layout>
        <c:manualLayout>
          <c:xMode val="edge"/>
          <c:yMode val="edge"/>
          <c:x val="0.716342532581278"/>
          <c:y val="0.132795698924731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Agree Totals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'Copy of Sheet3'!$B$1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'Copy of Sheet3'!$A$2:$A$9</c:f>
            </c:strRef>
          </c:cat>
          <c:val>
            <c:numRef>
              <c:f>'Copy of Sheet3'!$B$2:$B$9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Deviation from the sentiment mean</a:t>
            </a:r>
          </a:p>
        </c:rich>
      </c:tx>
      <c:overlay val="0"/>
    </c:title>
    <c:plotArea>
      <c:layout>
        <c:manualLayout>
          <c:xMode val="edge"/>
          <c:yMode val="edge"/>
          <c:x val="0.09405803184575398"/>
          <c:y val="0.2193215339233039"/>
          <c:w val="0.820792104394028"/>
          <c:h val="0.3818589045252627"/>
        </c:manualLayout>
      </c:layout>
      <c:barChart>
        <c:barDir val="col"/>
        <c:ser>
          <c:idx val="0"/>
          <c:order val="0"/>
          <c:tx>
            <c:strRef>
              <c:f>Sheet3!$C$1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Sheet3!$A$2:$A$9</c:f>
            </c:strRef>
          </c:cat>
          <c:val>
            <c:numRef>
              <c:f>Sheet3!$C$2:$C$9</c:f>
              <c:numCache/>
            </c:numRef>
          </c:val>
        </c:ser>
        <c:ser>
          <c:idx val="1"/>
          <c:order val="1"/>
          <c:tx>
            <c:strRef>
              <c:f>Sheet3!$E$1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Sheet3!$A$2:$A$9</c:f>
            </c:strRef>
          </c:cat>
          <c:val>
            <c:numRef>
              <c:f>Sheet3!$E$2:$E$9</c:f>
              <c:numCache/>
            </c:numRef>
          </c:val>
        </c:ser>
        <c:ser>
          <c:idx val="2"/>
          <c:order val="2"/>
          <c:tx>
            <c:strRef>
              <c:f>Sheet3!$G$1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Sheet3!$A$2:$A$9</c:f>
            </c:strRef>
          </c:cat>
          <c:val>
            <c:numRef>
              <c:f>Sheet3!$G$2:$G$9</c:f>
              <c:numCache/>
            </c:numRef>
          </c:val>
        </c:ser>
        <c:axId val="1754685473"/>
        <c:axId val="828472633"/>
      </c:barChart>
      <c:catAx>
        <c:axId val="1754685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472633"/>
      </c:catAx>
      <c:valAx>
        <c:axId val="828472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68547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Agree, Deviation Agree, No opinion, Deviation No Opinion, Disagree…</a:t>
            </a:r>
          </a:p>
        </c:rich>
      </c:tx>
      <c:overlay val="0"/>
    </c:title>
    <c:plotArea>
      <c:layout>
        <c:manualLayout>
          <c:xMode val="edge"/>
          <c:yMode val="edge"/>
          <c:x val="0.5358333333333333"/>
          <c:y val="0.1912313432835821"/>
          <c:w val="0.43325"/>
          <c:h val="0.7102511365007843"/>
        </c:manualLayout>
      </c:layout>
      <c:barChart>
        <c:barDir val="bar"/>
        <c:ser>
          <c:idx val="0"/>
          <c:order val="0"/>
          <c:tx>
            <c:strRef>
              <c:f>Sheet3!$C$1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Sheet3!$A$2:$A$9</c:f>
            </c:strRef>
          </c:cat>
          <c:val>
            <c:numRef>
              <c:f>Sheet3!$C$2:$C$9</c:f>
              <c:numCache/>
            </c:numRef>
          </c:val>
        </c:ser>
        <c:ser>
          <c:idx val="1"/>
          <c:order val="1"/>
          <c:tx>
            <c:strRef>
              <c:f>Sheet3!$E$1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Sheet3!$A$2:$A$9</c:f>
            </c:strRef>
          </c:cat>
          <c:val>
            <c:numRef>
              <c:f>Sheet3!$E$2:$E$9</c:f>
              <c:numCache/>
            </c:numRef>
          </c:val>
        </c:ser>
        <c:ser>
          <c:idx val="2"/>
          <c:order val="2"/>
          <c:tx>
            <c:strRef>
              <c:f>Sheet3!$G$1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Sheet3!$A$2:$A$9</c:f>
            </c:strRef>
          </c:cat>
          <c:val>
            <c:numRef>
              <c:f>Sheet3!$G$2:$G$9</c:f>
              <c:numCache/>
            </c:numRef>
          </c:val>
        </c:ser>
        <c:axId val="1043953141"/>
        <c:axId val="345432269"/>
      </c:barChart>
      <c:catAx>
        <c:axId val="10439531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432269"/>
      </c:catAx>
      <c:valAx>
        <c:axId val="3454322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9531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Views on Choice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Choice!$A$2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Choice!$B$1:$D$1</c:f>
            </c:numRef>
          </c:xVal>
          <c:yVal>
            <c:numRef>
              <c:f>Choice!$B$2:$D$2</c:f>
              <c:numCache/>
            </c:numRef>
          </c:yVal>
        </c:ser>
        <c:ser>
          <c:idx val="1"/>
          <c:order val="1"/>
          <c:tx>
            <c:strRef>
              <c:f>Choice!$A$3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Choice!$B$1:$D$1</c:f>
            </c:numRef>
          </c:xVal>
          <c:yVal>
            <c:numRef>
              <c:f>Choice!$B$3:$D$3</c:f>
              <c:numCache/>
            </c:numRef>
          </c:yVal>
        </c:ser>
        <c:ser>
          <c:idx val="2"/>
          <c:order val="2"/>
          <c:tx>
            <c:strRef>
              <c:f>Choice!$A$4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Choice!$B$1:$D$1</c:f>
            </c:numRef>
          </c:xVal>
          <c:yVal>
            <c:numRef>
              <c:f>Choice!$B$4:$D$4</c:f>
              <c:numCache/>
            </c:numRef>
          </c:yVal>
        </c:ser>
        <c:ser>
          <c:idx val="3"/>
          <c:order val="3"/>
          <c:tx>
            <c:strRef>
              <c:f>Choice!$A$5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Choice!$B$1:$D$1</c:f>
            </c:numRef>
          </c:xVal>
          <c:yVal>
            <c:numRef>
              <c:f>Choice!$B$5:$D$5</c:f>
              <c:numCache/>
            </c:numRef>
          </c:yVal>
        </c:ser>
        <c:ser>
          <c:idx val="4"/>
          <c:order val="4"/>
          <c:tx>
            <c:strRef>
              <c:f>Choice!$A$6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Choice!$B$1:$D$1</c:f>
            </c:numRef>
          </c:xVal>
          <c:yVal>
            <c:numRef>
              <c:f>Choice!$B$6:$D$6</c:f>
              <c:numCache/>
            </c:numRef>
          </c:yVal>
        </c:ser>
        <c:ser>
          <c:idx val="5"/>
          <c:order val="5"/>
          <c:tx>
            <c:strRef>
              <c:f>Choice!$A$7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Choice!$B$1:$D$1</c:f>
            </c:numRef>
          </c:xVal>
          <c:yVal>
            <c:numRef>
              <c:f>Choice!$B$7:$D$7</c:f>
              <c:numCache/>
            </c:numRef>
          </c:yVal>
        </c:ser>
        <c:ser>
          <c:idx val="6"/>
          <c:order val="6"/>
          <c:tx>
            <c:strRef>
              <c:f>Choice!$A$8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Choice!$B$1:$D$1</c:f>
            </c:numRef>
          </c:xVal>
          <c:yVal>
            <c:numRef>
              <c:f>Choice!$B$8:$D$8</c:f>
              <c:numCache/>
            </c:numRef>
          </c:yVal>
        </c:ser>
        <c:ser>
          <c:idx val="7"/>
          <c:order val="7"/>
          <c:tx>
            <c:strRef>
              <c:f>Choice!$A$9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Choice!$B$1:$D$1</c:f>
            </c:numRef>
          </c:xVal>
          <c:yVal>
            <c:numRef>
              <c:f>Choice!$B$9:$D$9</c:f>
              <c:numCache/>
            </c:numRef>
          </c:yVal>
        </c:ser>
        <c:ser>
          <c:idx val="8"/>
          <c:order val="8"/>
          <c:tx>
            <c:strRef>
              <c:f>Choice!$A$10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Choice!$B$1:$D$1</c:f>
            </c:numRef>
          </c:xVal>
          <c:yVal>
            <c:numRef>
              <c:f>Choice!$B$10:$D$10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182642"/>
        <c:axId val="750948945"/>
      </c:scatterChart>
      <c:valAx>
        <c:axId val="12341826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948945"/>
      </c:valAx>
      <c:valAx>
        <c:axId val="750948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182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Views on Choice</a:t>
            </a:r>
          </a:p>
        </c:rich>
      </c:tx>
      <c:overlay val="0"/>
    </c:title>
    <c:plotArea>
      <c:layout>
        <c:manualLayout>
          <c:xMode val="edge"/>
          <c:yMode val="edge"/>
          <c:x val="0.39435946462715105"/>
          <c:y val="0.20292003593890387"/>
          <c:w val="0.5909066195666534"/>
          <c:h val="0.6985624438454626"/>
        </c:manualLayout>
      </c:layout>
      <c:barChart>
        <c:barDir val="bar"/>
        <c:grouping val="percentStacked"/>
        <c:ser>
          <c:idx val="0"/>
          <c:order val="0"/>
          <c:tx>
            <c:strRef>
              <c:f>Choice!$B$1</c:f>
            </c:strRef>
          </c:tx>
          <c:spPr>
            <a:solidFill>
              <a:srgbClr val="8E7CC3"/>
            </a:solidFill>
            <a:ln cmpd="sng">
              <a:noFill/>
            </a:ln>
          </c:spPr>
          <c:invertIfNegative val="0"/>
          <c:dPt>
            <c:idx val="1"/>
          </c:dPt>
          <c:dPt>
            <c:idx val="2"/>
          </c:dPt>
          <c:dPt>
            <c:idx val="3"/>
          </c:dPt>
          <c:dPt>
            <c:idx val="4"/>
          </c:dPt>
          <c:cat>
            <c:strRef>
              <c:f>Choice!$A$2:$A$10</c:f>
            </c:strRef>
          </c:cat>
          <c:val>
            <c:numRef>
              <c:f>Choice!$B$2:$B$10</c:f>
              <c:numCache/>
            </c:numRef>
          </c:val>
        </c:ser>
        <c:ser>
          <c:idx val="1"/>
          <c:order val="1"/>
          <c:tx>
            <c:strRef>
              <c:f>Choice!$C$1</c:f>
            </c:strRef>
          </c:tx>
          <c:spPr>
            <a:solidFill>
              <a:srgbClr val="D9D9D9"/>
            </a:solidFill>
            <a:ln cmpd="sng">
              <a:noFill/>
            </a:ln>
          </c:spPr>
          <c:invertIfNegative val="0"/>
          <c:dPt>
            <c:idx val="5"/>
          </c:dPt>
          <c:cat>
            <c:strRef>
              <c:f>Choice!$A$2:$A$10</c:f>
            </c:strRef>
          </c:cat>
          <c:val>
            <c:numRef>
              <c:f>Choice!$C$2:$C$10</c:f>
              <c:numCache/>
            </c:numRef>
          </c:val>
        </c:ser>
        <c:ser>
          <c:idx val="2"/>
          <c:order val="2"/>
          <c:tx>
            <c:strRef>
              <c:f>Choice!$D$1</c:f>
            </c:strRef>
          </c:tx>
          <c:spPr>
            <a:solidFill>
              <a:srgbClr val="E69138"/>
            </a:solidFill>
            <a:ln cmpd="sng">
              <a:noFill/>
            </a:ln>
          </c:spPr>
          <c:invertIfNegative val="0"/>
          <c:cat>
            <c:strRef>
              <c:f>Choice!$A$2:$A$10</c:f>
            </c:strRef>
          </c:cat>
          <c:val>
            <c:numRef>
              <c:f>Choice!$D$2:$D$10</c:f>
              <c:numCache/>
            </c:numRef>
          </c:val>
        </c:ser>
        <c:overlap val="100"/>
        <c:axId val="2019852860"/>
        <c:axId val="1932412838"/>
      </c:barChart>
      <c:catAx>
        <c:axId val="20198528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2412838"/>
      </c:catAx>
      <c:valAx>
        <c:axId val="19324128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9852860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 am discouraged from offering intrapartum care by: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v>Agree</c:v>
          </c:tx>
          <c:spPr>
            <a:solidFill>
              <a:srgbClr val="8E7CC3"/>
            </a:solidFill>
            <a:ln cmpd="sng">
              <a:noFill/>
            </a:ln>
          </c:spPr>
          <c:invertIfNegative val="0"/>
          <c:cat>
            <c:strRef>
              <c:f>discouraged!$A$2:$A$8</c:f>
            </c:strRef>
          </c:cat>
          <c:val>
            <c:numRef>
              <c:f>discouraged!$C$2:$C$8</c:f>
              <c:numCache/>
            </c:numRef>
          </c:val>
        </c:ser>
        <c:ser>
          <c:idx val="1"/>
          <c:order val="1"/>
          <c:tx>
            <c:v>No Opinion</c:v>
          </c:tx>
          <c:spPr>
            <a:solidFill>
              <a:srgbClr val="CCCCCC"/>
            </a:solidFill>
            <a:ln cmpd="sng">
              <a:noFill/>
            </a:ln>
          </c:spPr>
          <c:invertIfNegative val="0"/>
          <c:cat>
            <c:strRef>
              <c:f>discouraged!$A$2:$A$8</c:f>
            </c:strRef>
          </c:cat>
          <c:val>
            <c:numRef>
              <c:f>discouraged!$E$2:$E$8</c:f>
              <c:numCache/>
            </c:numRef>
          </c:val>
        </c:ser>
        <c:ser>
          <c:idx val="2"/>
          <c:order val="2"/>
          <c:tx>
            <c:v>Disagree</c:v>
          </c:tx>
          <c:spPr>
            <a:solidFill>
              <a:srgbClr val="F6B26B"/>
            </a:solidFill>
            <a:ln cmpd="sng">
              <a:noFill/>
            </a:ln>
          </c:spPr>
          <c:invertIfNegative val="0"/>
          <c:cat>
            <c:strRef>
              <c:f>discouraged!$A$2:$A$8</c:f>
            </c:strRef>
          </c:cat>
          <c:val>
            <c:numRef>
              <c:f>discouraged!$G$2:$G$8</c:f>
              <c:numCache/>
            </c:numRef>
          </c:val>
        </c:ser>
        <c:overlap val="100"/>
        <c:axId val="2024512226"/>
        <c:axId val="1670324898"/>
      </c:barChart>
      <c:catAx>
        <c:axId val="20245122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0324898"/>
      </c:catAx>
      <c:valAx>
        <c:axId val="16703248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5122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0</xdr:row>
      <xdr:rowOff>0</xdr:rowOff>
    </xdr:from>
    <xdr:ext cx="9201150" cy="4505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1</xdr:row>
      <xdr:rowOff>85725</xdr:rowOff>
    </xdr:from>
    <xdr:ext cx="8496300" cy="4429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1524000</xdr:colOff>
      <xdr:row>11</xdr:row>
      <xdr:rowOff>38100</xdr:rowOff>
    </xdr:from>
    <xdr:ext cx="710565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409575</xdr:colOff>
      <xdr:row>0</xdr:row>
      <xdr:rowOff>209550</xdr:rowOff>
    </xdr:from>
    <xdr:ext cx="6991350" cy="5648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1276350</xdr:colOff>
      <xdr:row>22</xdr:row>
      <xdr:rowOff>190500</xdr:rowOff>
    </xdr:from>
    <xdr:ext cx="7620000" cy="5105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0</xdr:row>
      <xdr:rowOff>0</xdr:rowOff>
    </xdr:from>
    <xdr:ext cx="8001000" cy="57150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638175</xdr:colOff>
      <xdr:row>27</xdr:row>
      <xdr:rowOff>85725</xdr:rowOff>
    </xdr:from>
    <xdr:ext cx="9963150" cy="49815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647700</xdr:colOff>
      <xdr:row>0</xdr:row>
      <xdr:rowOff>285750</xdr:rowOff>
    </xdr:from>
    <xdr:ext cx="7943850" cy="42767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8" displayName="Infastructure_and_Technical_Capabilities" name="Infastructure_and_Technical_Capabilities" id="2">
  <tableColumns count="7">
    <tableColumn name="Statement" id="1"/>
    <tableColumn name="Agree" id="2"/>
    <tableColumn name="Agree %" id="3"/>
    <tableColumn name="No opinion" id="4"/>
    <tableColumn name="No Opinion %" id="5"/>
    <tableColumn name="Disagree" id="6"/>
    <tableColumn name="Disagree %" id="7"/>
  </tableColumns>
  <tableStyleInfo name="Catagories-style" showColumnStripes="0" showFirstColumn="1" showLastColumn="1" showRowStripes="1"/>
</table>
</file>

<file path=xl/tables/table2.xml><?xml version="1.0" encoding="utf-8"?>
<table xmlns="http://schemas.openxmlformats.org/spreadsheetml/2006/main" ref="J2:P9" displayName="Table3" name="Table3" id="3">
  <tableColumns count="7">
    <tableColumn name="I am discouraged from offering intrapartum care by" id="1"/>
    <tableColumn name="Agree" id="2"/>
    <tableColumn name="Agree %" id="3"/>
    <tableColumn name="No opinion" id="4"/>
    <tableColumn name="No Opinion %" id="5"/>
    <tableColumn name="Disagree" id="6"/>
    <tableColumn name="Disagree %" id="7"/>
  </tableColumns>
  <tableStyleInfo name="Catagories-style 2" showColumnStripes="0" showFirstColumn="1" showLastColumn="1" showRowStripes="1"/>
</table>
</file>

<file path=xl/tables/table3.xml><?xml version="1.0" encoding="utf-8"?>
<table xmlns="http://schemas.openxmlformats.org/spreadsheetml/2006/main" ref="J11:P20" displayName="Choice" name="Choice" id="4">
  <tableColumns count="7">
    <tableColumn name="Statement" id="1"/>
    <tableColumn name="Agree" id="2"/>
    <tableColumn name="Agree %" id="3"/>
    <tableColumn name="No opinion" id="4"/>
    <tableColumn name="No Opinion %" id="5"/>
    <tableColumn name="Disagree" id="6"/>
    <tableColumn name="Disagree %" id="7"/>
  </tableColumns>
  <tableStyleInfo name="Catagories-style 3" showColumnStripes="0" showFirstColumn="1" showLastColumn="1" showRowStripes="1"/>
</table>
</file>

<file path=xl/tables/table4.xml><?xml version="1.0" encoding="utf-8"?>
<table xmlns="http://schemas.openxmlformats.org/spreadsheetml/2006/main" ref="A1:I25" displayName="Maternity_Care_Opinions_2" name="Maternity_Care_Opinions_2" id="1">
  <tableColumns count="9">
    <tableColumn name="Statement" id="1"/>
    <tableColumn name="Agree" id="2"/>
    <tableColumn name="Difference" id="3"/>
    <tableColumn name="No opinion" id="4"/>
    <tableColumn name="Diffrence" id="5"/>
    <tableColumn name="Disagree" id="6"/>
    <tableColumn name="Diffrence 2" id="7"/>
    <tableColumn name="Highest" id="8"/>
    <tableColumn name="Column 1" id="9"/>
  </tableColumns>
  <tableStyleInfo name="strongest opinions-style" showColumnStripes="0" showFirstColumn="1" showLastColumn="1" showRowStripes="1"/>
</table>
</file>

<file path=xl/tables/table5.xml><?xml version="1.0" encoding="utf-8"?>
<table xmlns="http://schemas.openxmlformats.org/spreadsheetml/2006/main" totalsRowCount="1" ref="A1:D10" displayName="Table2_3" name="Table2_3" id="5">
  <tableColumns count="4">
    <tableColumn name="Statement" id="1"/>
    <tableColumn totalsRowFunction="custom" name="Agree" id="2"/>
    <tableColumn totalsRowFunction="custom" name="Disagree" id="3"/>
    <tableColumn name="Total" id="4"/>
  </tableColumns>
  <tableStyleInfo name="Copy of Sheet3-style" showColumnStripes="0" showFirstColumn="1" showLastColumn="1" showRowStripes="1"/>
</table>
</file>

<file path=xl/tables/table6.xml><?xml version="1.0" encoding="utf-8"?>
<table xmlns="http://schemas.openxmlformats.org/spreadsheetml/2006/main" totalsRowCount="1" ref="A1:G10" displayName="Table2" name="Table2" id="6">
  <tableColumns count="7">
    <tableColumn totalsRowLabel="Mean" name="Statement" id="1"/>
    <tableColumn totalsRowFunction="custom" name="Agree" id="2"/>
    <tableColumn name="Deviation Agree" id="3"/>
    <tableColumn totalsRowFunction="custom" name="No opinion" id="4"/>
    <tableColumn name="Deviation No Opinion" id="5"/>
    <tableColumn totalsRowFunction="custom" name="Disagree" id="6"/>
    <tableColumn name="Deviation Disagree" id="7"/>
  </tableColumns>
  <tableStyleInfo name="Sheet3-style" showColumnStripes="0" showFirstColumn="1" showLastColumn="1" showRowStripes="1"/>
</table>
</file>

<file path=xl/tables/table7.xml><?xml version="1.0" encoding="utf-8"?>
<table xmlns="http://schemas.openxmlformats.org/spreadsheetml/2006/main" ref="A1:D10" displayName="Table2_2" name="Table2_2" id="9">
  <tableColumns count="4">
    <tableColumn name="Statement" id="1"/>
    <tableColumn name="Agree" id="2"/>
    <tableColumn name="No Opinion" id="3"/>
    <tableColumn name="Disagree" id="4"/>
  </tableColumns>
  <tableStyleInfo name="Choice-style" showColumnStripes="0" showFirstColumn="1" showLastColumn="1" showRowStripes="1"/>
</table>
</file>

<file path=xl/tables/table8.xml><?xml version="1.0" encoding="utf-8"?>
<table xmlns="http://schemas.openxmlformats.org/spreadsheetml/2006/main" ref="A1:G8" displayName="Table1" name="Table1" id="8">
  <tableColumns count="7">
    <tableColumn name="I am discouraged from offering intrapartum care by:" id="1"/>
    <tableColumn name="Agree" id="2"/>
    <tableColumn name="%" id="3"/>
    <tableColumn name="No opinion" id="4"/>
    <tableColumn name="% 2" id="5"/>
    <tableColumn name="Disagree" id="6"/>
    <tableColumn name="% 3" id="7"/>
  </tableColumns>
  <tableStyleInfo name="discouraged-style" showColumnStripes="0" showFirstColumn="1" showLastColumn="1" showRowStripes="1"/>
</table>
</file>

<file path=xl/tables/table9.xml><?xml version="1.0" encoding="utf-8"?>
<table xmlns="http://schemas.openxmlformats.org/spreadsheetml/2006/main" ref="A1:G25" displayName="Maternity_Care_Opinions" name="Maternity_Care_Opinions" id="7">
  <tableColumns count="7">
    <tableColumn name="Statement" id="1"/>
    <tableColumn name="Agree" id="2"/>
    <tableColumn name="%" id="3"/>
    <tableColumn name="No opinion" id="4"/>
    <tableColumn name="% 2" id="5"/>
    <tableColumn name="Disagree" id="6"/>
    <tableColumn name="% 3" id="7"/>
  </tableColumns>
  <tableStyleInfo name="master-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13"/>
    <col customWidth="1" min="2" max="2" width="13.25"/>
    <col customWidth="1" min="4" max="4" width="16.88"/>
    <col customWidth="1" min="6" max="6" width="15.38"/>
    <col customWidth="1" min="10" max="10" width="37.63"/>
    <col customWidth="1" min="11" max="11" width="13.13"/>
    <col customWidth="1" min="13" max="13" width="16.75"/>
    <col customWidth="1" min="15" max="15" width="15.25"/>
  </cols>
  <sheetData>
    <row r="1" ht="22.5" customHeight="1">
      <c r="A1" s="1" t="s">
        <v>0</v>
      </c>
      <c r="B1" s="1" t="s">
        <v>1</v>
      </c>
      <c r="C1" s="1" t="s">
        <v>15</v>
      </c>
      <c r="D1" s="1" t="s">
        <v>3</v>
      </c>
      <c r="E1" s="1" t="s">
        <v>16</v>
      </c>
      <c r="F1" s="1" t="s">
        <v>5</v>
      </c>
      <c r="G1" s="1" t="s">
        <v>17</v>
      </c>
    </row>
    <row r="2" ht="49.5" customHeight="1">
      <c r="A2" s="3" t="s">
        <v>18</v>
      </c>
      <c r="B2" s="4">
        <v>385.0</v>
      </c>
      <c r="C2" s="4">
        <v>71.0</v>
      </c>
      <c r="D2" s="4">
        <v>58.0</v>
      </c>
      <c r="E2" s="4">
        <v>11.0</v>
      </c>
      <c r="F2" s="4">
        <v>97.0</v>
      </c>
      <c r="G2" s="4">
        <v>18.0</v>
      </c>
      <c r="J2" s="7" t="s">
        <v>19</v>
      </c>
      <c r="K2" s="7" t="s">
        <v>1</v>
      </c>
      <c r="L2" s="7" t="s">
        <v>15</v>
      </c>
      <c r="M2" s="7" t="s">
        <v>3</v>
      </c>
      <c r="N2" s="7" t="s">
        <v>16</v>
      </c>
      <c r="O2" s="7" t="s">
        <v>5</v>
      </c>
      <c r="P2" s="7" t="s">
        <v>17</v>
      </c>
    </row>
    <row r="3" ht="49.5" customHeight="1">
      <c r="A3" s="3" t="s">
        <v>21</v>
      </c>
      <c r="B3" s="4">
        <v>377.0</v>
      </c>
      <c r="C3" s="4">
        <v>69.0</v>
      </c>
      <c r="D3" s="4">
        <v>109.0</v>
      </c>
      <c r="E3" s="4">
        <v>20.0</v>
      </c>
      <c r="F3" s="4">
        <v>60.0</v>
      </c>
      <c r="G3" s="4">
        <v>11.0</v>
      </c>
      <c r="J3" s="8" t="s">
        <v>22</v>
      </c>
      <c r="K3" s="4">
        <v>267.0</v>
      </c>
      <c r="L3" s="4">
        <v>49.0</v>
      </c>
      <c r="M3" s="4">
        <v>62.0</v>
      </c>
      <c r="N3" s="4">
        <v>11.0</v>
      </c>
      <c r="O3" s="4">
        <v>217.0</v>
      </c>
      <c r="P3" s="4">
        <v>40.0</v>
      </c>
    </row>
    <row r="4" ht="49.5" customHeight="1">
      <c r="A4" s="3" t="s">
        <v>24</v>
      </c>
      <c r="B4" s="4">
        <v>221.0</v>
      </c>
      <c r="C4" s="4">
        <v>41.0</v>
      </c>
      <c r="D4" s="4">
        <v>68.0</v>
      </c>
      <c r="E4" s="4">
        <v>12.0</v>
      </c>
      <c r="F4" s="4">
        <v>256.0</v>
      </c>
      <c r="G4" s="4">
        <v>47.0</v>
      </c>
      <c r="J4" s="8" t="s">
        <v>29</v>
      </c>
      <c r="K4" s="4">
        <v>182.0</v>
      </c>
      <c r="L4" s="4">
        <v>33.0</v>
      </c>
      <c r="M4" s="4">
        <v>115.0</v>
      </c>
      <c r="N4" s="4">
        <v>21.0</v>
      </c>
      <c r="O4" s="4">
        <v>247.0</v>
      </c>
      <c r="P4" s="4">
        <v>45.0</v>
      </c>
    </row>
    <row r="5" ht="49.5" customHeight="1">
      <c r="A5" s="3" t="s">
        <v>33</v>
      </c>
      <c r="B5" s="4">
        <v>197.0</v>
      </c>
      <c r="C5" s="4">
        <v>36.0</v>
      </c>
      <c r="D5" s="4">
        <v>197.0</v>
      </c>
      <c r="E5" s="4">
        <v>36.0</v>
      </c>
      <c r="F5" s="4">
        <v>150.0</v>
      </c>
      <c r="G5" s="4">
        <v>28.0</v>
      </c>
      <c r="J5" s="8" t="s">
        <v>35</v>
      </c>
      <c r="K5" s="4">
        <v>377.0</v>
      </c>
      <c r="L5" s="4">
        <v>69.0</v>
      </c>
      <c r="M5" s="4">
        <v>61.0</v>
      </c>
      <c r="N5" s="4">
        <v>11.0</v>
      </c>
      <c r="O5" s="4">
        <v>107.0</v>
      </c>
      <c r="P5" s="4">
        <v>20.0</v>
      </c>
    </row>
    <row r="6" ht="49.5" customHeight="1">
      <c r="A6" s="3" t="s">
        <v>37</v>
      </c>
      <c r="B6" s="4">
        <v>189.0</v>
      </c>
      <c r="C6" s="4">
        <v>35.0</v>
      </c>
      <c r="D6" s="4">
        <v>48.0</v>
      </c>
      <c r="E6" s="4">
        <v>9.0</v>
      </c>
      <c r="F6" s="4">
        <v>307.0</v>
      </c>
      <c r="G6" s="4">
        <v>56.0</v>
      </c>
      <c r="J6" s="8" t="s">
        <v>40</v>
      </c>
      <c r="K6" s="4">
        <v>210.0</v>
      </c>
      <c r="L6" s="4">
        <v>39.0</v>
      </c>
      <c r="M6" s="4">
        <v>157.0</v>
      </c>
      <c r="N6" s="4">
        <v>29.0</v>
      </c>
      <c r="O6" s="4">
        <v>178.0</v>
      </c>
      <c r="P6" s="4">
        <v>33.0</v>
      </c>
    </row>
    <row r="7" ht="49.5" customHeight="1">
      <c r="A7" s="3" t="s">
        <v>42</v>
      </c>
      <c r="B7" s="4">
        <v>182.0</v>
      </c>
      <c r="C7" s="4">
        <v>33.0</v>
      </c>
      <c r="D7" s="4">
        <v>185.0</v>
      </c>
      <c r="E7" s="4">
        <v>34.0</v>
      </c>
      <c r="F7" s="4">
        <v>177.0</v>
      </c>
      <c r="G7" s="4">
        <v>33.0</v>
      </c>
      <c r="J7" s="8" t="s">
        <v>43</v>
      </c>
      <c r="K7" s="4">
        <v>407.0</v>
      </c>
      <c r="L7" s="4">
        <v>75.0</v>
      </c>
      <c r="M7" s="4">
        <v>46.0</v>
      </c>
      <c r="N7" s="4">
        <v>8.0</v>
      </c>
      <c r="O7" s="4">
        <v>93.0</v>
      </c>
      <c r="P7" s="4">
        <v>17.0</v>
      </c>
    </row>
    <row r="8" ht="49.5" customHeight="1">
      <c r="A8" s="3" t="s">
        <v>32</v>
      </c>
      <c r="B8" s="4">
        <v>153.0</v>
      </c>
      <c r="C8" s="4">
        <v>28.0</v>
      </c>
      <c r="D8" s="4">
        <v>42.0</v>
      </c>
      <c r="E8" s="4">
        <v>8.0</v>
      </c>
      <c r="F8" s="4">
        <v>349.0</v>
      </c>
      <c r="G8" s="4">
        <v>64.0</v>
      </c>
      <c r="J8" s="8" t="s">
        <v>44</v>
      </c>
      <c r="K8" s="4">
        <v>203.0</v>
      </c>
      <c r="L8" s="4">
        <v>37.0</v>
      </c>
      <c r="M8" s="4">
        <v>109.0</v>
      </c>
      <c r="N8" s="4">
        <v>20.0</v>
      </c>
      <c r="O8" s="4">
        <v>178.0</v>
      </c>
      <c r="P8" s="4">
        <v>33.0</v>
      </c>
    </row>
    <row r="9" ht="49.5" customHeight="1">
      <c r="A9" s="3" t="s">
        <v>36</v>
      </c>
      <c r="B9" s="4">
        <v>150.0</v>
      </c>
      <c r="C9" s="4">
        <v>27.0</v>
      </c>
      <c r="D9" s="4">
        <v>100.0</v>
      </c>
      <c r="E9" s="4">
        <v>18.0</v>
      </c>
      <c r="F9" s="4">
        <v>297.0</v>
      </c>
      <c r="G9" s="4">
        <v>54.0</v>
      </c>
      <c r="J9" s="8" t="s">
        <v>48</v>
      </c>
      <c r="K9" s="4">
        <v>453.0</v>
      </c>
      <c r="L9" s="4">
        <v>83.0</v>
      </c>
      <c r="M9" s="4">
        <v>34.0</v>
      </c>
      <c r="N9" s="4">
        <v>6.0</v>
      </c>
      <c r="O9" s="4">
        <v>59.0</v>
      </c>
      <c r="P9" s="4">
        <v>11.0</v>
      </c>
    </row>
    <row r="10" ht="49.5" customHeight="1">
      <c r="B10" s="6"/>
      <c r="C10" s="6"/>
      <c r="D10" s="6"/>
      <c r="E10" s="6"/>
      <c r="F10" s="6"/>
      <c r="G10" s="6"/>
    </row>
    <row r="11" ht="49.5" customHeight="1">
      <c r="B11" s="6"/>
      <c r="C11" s="6"/>
      <c r="D11" s="6"/>
      <c r="E11" s="6"/>
      <c r="F11" s="6"/>
      <c r="G11" s="6"/>
      <c r="J11" s="7" t="s">
        <v>0</v>
      </c>
      <c r="K11" s="7" t="s">
        <v>1</v>
      </c>
      <c r="L11" s="7" t="s">
        <v>15</v>
      </c>
      <c r="M11" s="7" t="s">
        <v>3</v>
      </c>
      <c r="N11" s="7" t="s">
        <v>16</v>
      </c>
      <c r="O11" s="7" t="s">
        <v>5</v>
      </c>
      <c r="P11" s="7" t="s">
        <v>17</v>
      </c>
    </row>
    <row r="12" ht="49.5" customHeight="1">
      <c r="A12" s="3"/>
      <c r="B12" s="4"/>
      <c r="C12" s="4"/>
      <c r="D12" s="4"/>
      <c r="E12" s="4"/>
      <c r="F12" s="4"/>
      <c r="G12" s="4"/>
      <c r="J12" s="13" t="s">
        <v>9</v>
      </c>
      <c r="K12" s="4">
        <v>501.0</v>
      </c>
      <c r="L12" s="4">
        <v>92.0</v>
      </c>
      <c r="M12" s="4">
        <v>34.0</v>
      </c>
      <c r="N12" s="4">
        <v>6.0</v>
      </c>
      <c r="O12" s="4">
        <v>12.0</v>
      </c>
      <c r="P12" s="4">
        <v>2.0</v>
      </c>
    </row>
    <row r="13" ht="49.5" customHeight="1">
      <c r="A13" s="3"/>
      <c r="B13" s="4"/>
      <c r="C13" s="4"/>
      <c r="D13" s="4"/>
      <c r="E13" s="4"/>
      <c r="F13" s="4"/>
      <c r="G13" s="4"/>
      <c r="J13" s="14" t="s">
        <v>11</v>
      </c>
      <c r="K13" s="4">
        <v>423.0</v>
      </c>
      <c r="L13" s="4">
        <v>78.0</v>
      </c>
      <c r="M13" s="4">
        <v>33.0</v>
      </c>
      <c r="N13" s="4">
        <v>6.0</v>
      </c>
      <c r="O13" s="4">
        <v>89.0</v>
      </c>
      <c r="P13" s="4">
        <v>16.0</v>
      </c>
    </row>
    <row r="14" ht="49.5" customHeight="1">
      <c r="A14" s="3"/>
      <c r="B14" s="4"/>
      <c r="C14" s="4"/>
      <c r="D14" s="4"/>
      <c r="E14" s="4"/>
      <c r="F14" s="4"/>
      <c r="G14" s="4"/>
      <c r="J14" s="16" t="s">
        <v>12</v>
      </c>
      <c r="K14" s="4">
        <v>418.0</v>
      </c>
      <c r="L14" s="4">
        <v>76.0</v>
      </c>
      <c r="M14" s="4">
        <v>62.0</v>
      </c>
      <c r="N14" s="4">
        <v>11.0</v>
      </c>
      <c r="O14" s="4">
        <v>67.0</v>
      </c>
      <c r="P14" s="4">
        <v>12.0</v>
      </c>
    </row>
    <row r="15" ht="49.5" customHeight="1">
      <c r="A15" s="3"/>
      <c r="B15" s="4"/>
      <c r="C15" s="4"/>
      <c r="D15" s="4"/>
      <c r="E15" s="4"/>
      <c r="F15" s="4"/>
      <c r="G15" s="4"/>
      <c r="J15" s="14" t="s">
        <v>20</v>
      </c>
      <c r="K15" s="4">
        <v>384.0</v>
      </c>
      <c r="L15" s="4">
        <v>71.0</v>
      </c>
      <c r="M15" s="4">
        <v>67.0</v>
      </c>
      <c r="N15" s="4">
        <v>12.0</v>
      </c>
      <c r="O15" s="4">
        <v>92.0</v>
      </c>
      <c r="P15" s="4">
        <v>17.0</v>
      </c>
    </row>
    <row r="16" ht="49.5" customHeight="1">
      <c r="A16" s="3"/>
      <c r="B16" s="4"/>
      <c r="C16" s="4"/>
      <c r="D16" s="4"/>
      <c r="E16" s="4"/>
      <c r="F16" s="4"/>
      <c r="G16" s="4"/>
      <c r="J16" s="16" t="s">
        <v>38</v>
      </c>
      <c r="K16" s="4">
        <v>315.0</v>
      </c>
      <c r="L16" s="4">
        <v>58.0</v>
      </c>
      <c r="M16" s="4">
        <v>80.0</v>
      </c>
      <c r="N16" s="4">
        <v>15.0</v>
      </c>
      <c r="O16" s="4">
        <v>152.0</v>
      </c>
      <c r="P16" s="4">
        <v>28.0</v>
      </c>
    </row>
    <row r="17" ht="49.5" customHeight="1">
      <c r="A17" s="3"/>
      <c r="B17" s="4"/>
      <c r="C17" s="4"/>
      <c r="D17" s="4"/>
      <c r="E17" s="4"/>
      <c r="F17" s="4"/>
      <c r="G17" s="4"/>
      <c r="J17" s="14" t="s">
        <v>45</v>
      </c>
      <c r="K17" s="4">
        <v>286.0</v>
      </c>
      <c r="L17" s="4">
        <v>52.0</v>
      </c>
      <c r="M17" s="4">
        <v>86.0</v>
      </c>
      <c r="N17" s="4">
        <v>16.0</v>
      </c>
      <c r="O17" s="4">
        <v>173.0</v>
      </c>
      <c r="P17" s="4">
        <v>32.0</v>
      </c>
    </row>
    <row r="18" ht="49.5" customHeight="1">
      <c r="A18" s="3"/>
      <c r="B18" s="4"/>
      <c r="C18" s="4"/>
      <c r="D18" s="4"/>
      <c r="E18" s="4"/>
      <c r="F18" s="4"/>
      <c r="G18" s="4"/>
      <c r="J18" s="16" t="s">
        <v>49</v>
      </c>
      <c r="K18" s="4">
        <v>248.0</v>
      </c>
      <c r="L18" s="4">
        <v>46.0</v>
      </c>
      <c r="M18" s="4">
        <v>62.0</v>
      </c>
      <c r="N18" s="4">
        <v>11.0</v>
      </c>
      <c r="O18" s="4">
        <v>234.0</v>
      </c>
      <c r="P18" s="4">
        <v>43.0</v>
      </c>
    </row>
    <row r="19" ht="49.5" customHeight="1">
      <c r="J19" s="14" t="s">
        <v>31</v>
      </c>
      <c r="K19" s="4">
        <v>124.0</v>
      </c>
      <c r="L19" s="4">
        <v>23.0</v>
      </c>
      <c r="M19" s="4">
        <v>61.0</v>
      </c>
      <c r="N19" s="4">
        <v>11.0</v>
      </c>
      <c r="O19" s="4">
        <v>358.0</v>
      </c>
      <c r="P19" s="4">
        <v>66.0</v>
      </c>
    </row>
    <row r="20" ht="49.5" customHeight="1">
      <c r="J20" s="17" t="s">
        <v>14</v>
      </c>
      <c r="K20" s="4">
        <v>92.0</v>
      </c>
      <c r="L20" s="4">
        <v>17.0</v>
      </c>
      <c r="M20" s="4">
        <v>46.0</v>
      </c>
      <c r="N20" s="4">
        <v>9.0</v>
      </c>
      <c r="O20" s="4">
        <v>398.0</v>
      </c>
      <c r="P20" s="4">
        <v>74.0</v>
      </c>
    </row>
    <row r="21" ht="49.5" customHeight="1"/>
    <row r="22" ht="49.5" customHeight="1"/>
    <row r="23" ht="49.5" customHeight="1"/>
    <row r="24" ht="49.5" customHeight="1"/>
    <row r="25" ht="49.5" customHeight="1"/>
    <row r="26" ht="49.5" customHeight="1"/>
    <row r="27" ht="49.5" customHeight="1"/>
    <row r="28" ht="49.5" customHeight="1"/>
    <row r="29" ht="49.5" customHeight="1"/>
    <row r="30" ht="49.5" customHeight="1"/>
    <row r="31" ht="49.5" customHeight="1"/>
    <row r="32" ht="49.5" customHeight="1"/>
    <row r="33" ht="49.5" customHeight="1"/>
    <row r="34" ht="49.5" customHeight="1"/>
    <row r="35" ht="49.5" customHeight="1"/>
    <row r="36" ht="49.5" customHeight="1"/>
    <row r="37" ht="49.5" customHeight="1"/>
    <row r="38" ht="49.5" customHeight="1"/>
    <row r="39" ht="49.5" customHeight="1"/>
    <row r="40" ht="49.5" customHeight="1"/>
    <row r="41" ht="49.5" customHeight="1"/>
    <row r="42" ht="49.5" customHeight="1"/>
    <row r="43" ht="49.5" customHeight="1"/>
    <row r="44" ht="49.5" customHeight="1"/>
    <row r="45" ht="49.5" customHeight="1"/>
    <row r="46" ht="49.5" customHeight="1"/>
    <row r="47" ht="49.5" customHeight="1"/>
    <row r="48" ht="49.5" customHeight="1"/>
    <row r="49" ht="49.5" customHeight="1"/>
    <row r="50" ht="49.5" customHeight="1"/>
    <row r="51" ht="49.5" customHeight="1"/>
    <row r="52" ht="49.5" customHeight="1"/>
    <row r="53" ht="49.5" customHeight="1"/>
    <row r="54" ht="49.5" customHeight="1"/>
    <row r="55" ht="49.5" customHeight="1"/>
    <row r="56" ht="49.5" customHeight="1"/>
    <row r="57" ht="49.5" customHeight="1"/>
    <row r="58" ht="49.5" customHeight="1"/>
    <row r="59" ht="49.5" customHeight="1"/>
    <row r="60" ht="49.5" customHeight="1"/>
    <row r="61" ht="49.5" customHeight="1"/>
    <row r="62" ht="49.5" customHeight="1"/>
    <row r="63" ht="49.5" customHeight="1"/>
    <row r="64" ht="49.5" customHeight="1"/>
    <row r="65" ht="49.5" customHeight="1"/>
    <row r="66" ht="49.5" customHeight="1"/>
    <row r="67" ht="49.5" customHeight="1"/>
    <row r="68" ht="49.5" customHeight="1"/>
    <row r="69" ht="49.5" customHeight="1"/>
    <row r="70" ht="49.5" customHeight="1"/>
    <row r="71" ht="49.5" customHeight="1"/>
    <row r="72" ht="49.5" customHeight="1"/>
    <row r="73" ht="49.5" customHeight="1"/>
    <row r="74" ht="49.5" customHeight="1"/>
    <row r="75" ht="49.5" customHeight="1"/>
    <row r="76" ht="49.5" customHeight="1"/>
    <row r="77" ht="49.5" customHeight="1"/>
    <row r="78" ht="49.5" customHeight="1"/>
    <row r="79" ht="49.5" customHeight="1"/>
    <row r="80" ht="49.5" customHeight="1"/>
    <row r="81" ht="49.5" customHeight="1"/>
    <row r="82" ht="49.5" customHeight="1"/>
    <row r="83" ht="49.5" customHeight="1"/>
    <row r="84" ht="49.5" customHeight="1"/>
    <row r="85" ht="49.5" customHeight="1"/>
    <row r="86" ht="49.5" customHeight="1"/>
    <row r="87" ht="49.5" customHeight="1"/>
    <row r="88" ht="49.5" customHeight="1"/>
    <row r="89" ht="49.5" customHeight="1"/>
    <row r="90" ht="49.5" customHeight="1"/>
    <row r="91" ht="49.5" customHeight="1"/>
    <row r="92" ht="49.5" customHeight="1"/>
    <row r="93" ht="49.5" customHeight="1"/>
    <row r="94" ht="49.5" customHeight="1"/>
    <row r="95" ht="49.5" customHeight="1"/>
    <row r="96" ht="49.5" customHeight="1"/>
    <row r="97" ht="49.5" customHeight="1"/>
    <row r="98" ht="49.5" customHeight="1"/>
    <row r="99" ht="49.5" customHeight="1"/>
    <row r="100" ht="49.5" customHeight="1"/>
    <row r="101" ht="49.5" customHeight="1"/>
    <row r="102" ht="49.5" customHeight="1"/>
    <row r="103" ht="49.5" customHeight="1"/>
    <row r="104" ht="49.5" customHeight="1"/>
    <row r="105" ht="49.5" customHeight="1"/>
    <row r="106" ht="49.5" customHeight="1"/>
    <row r="107" ht="49.5" customHeight="1"/>
    <row r="108" ht="49.5" customHeight="1"/>
    <row r="109" ht="49.5" customHeight="1"/>
    <row r="110" ht="49.5" customHeight="1"/>
    <row r="111" ht="49.5" customHeight="1"/>
    <row r="112" ht="49.5" customHeight="1"/>
    <row r="113" ht="49.5" customHeight="1"/>
    <row r="114" ht="49.5" customHeight="1"/>
    <row r="115" ht="49.5" customHeight="1"/>
    <row r="116" ht="49.5" customHeight="1"/>
    <row r="117" ht="49.5" customHeight="1"/>
    <row r="118" ht="49.5" customHeight="1"/>
    <row r="119" ht="49.5" customHeight="1"/>
    <row r="120" ht="49.5" customHeight="1"/>
    <row r="121" ht="49.5" customHeight="1"/>
    <row r="122" ht="49.5" customHeight="1"/>
    <row r="123" ht="49.5" customHeight="1"/>
    <row r="124" ht="49.5" customHeight="1"/>
    <row r="125" ht="49.5" customHeight="1"/>
    <row r="126" ht="49.5" customHeight="1"/>
    <row r="127" ht="49.5" customHeight="1"/>
    <row r="128" ht="49.5" customHeight="1"/>
    <row r="129" ht="49.5" customHeight="1"/>
    <row r="130" ht="49.5" customHeight="1"/>
    <row r="131" ht="49.5" customHeight="1"/>
    <row r="132" ht="49.5" customHeight="1"/>
    <row r="133" ht="49.5" customHeight="1"/>
    <row r="134" ht="49.5" customHeight="1"/>
    <row r="135" ht="49.5" customHeight="1"/>
    <row r="136" ht="49.5" customHeight="1"/>
    <row r="137" ht="49.5" customHeight="1"/>
    <row r="138" ht="49.5" customHeight="1"/>
    <row r="139" ht="49.5" customHeight="1"/>
    <row r="140" ht="49.5" customHeight="1"/>
    <row r="141" ht="49.5" customHeight="1"/>
    <row r="142" ht="49.5" customHeight="1"/>
    <row r="143" ht="49.5" customHeight="1"/>
    <row r="144" ht="49.5" customHeight="1"/>
    <row r="145" ht="49.5" customHeight="1"/>
    <row r="146" ht="49.5" customHeight="1"/>
    <row r="147" ht="49.5" customHeight="1"/>
    <row r="148" ht="49.5" customHeight="1"/>
    <row r="149" ht="49.5" customHeight="1"/>
    <row r="150" ht="49.5" customHeight="1"/>
    <row r="151" ht="49.5" customHeight="1"/>
    <row r="152" ht="49.5" customHeight="1"/>
    <row r="153" ht="49.5" customHeight="1"/>
    <row r="154" ht="49.5" customHeight="1"/>
    <row r="155" ht="49.5" customHeight="1"/>
    <row r="156" ht="49.5" customHeight="1"/>
    <row r="157" ht="49.5" customHeight="1"/>
    <row r="158" ht="49.5" customHeight="1"/>
    <row r="159" ht="49.5" customHeight="1"/>
    <row r="160" ht="49.5" customHeight="1"/>
    <row r="161" ht="49.5" customHeight="1"/>
    <row r="162" ht="49.5" customHeight="1"/>
    <row r="163" ht="49.5" customHeight="1"/>
    <row r="164" ht="49.5" customHeight="1"/>
    <row r="165" ht="49.5" customHeight="1"/>
    <row r="166" ht="49.5" customHeight="1"/>
    <row r="167" ht="49.5" customHeight="1"/>
    <row r="168" ht="49.5" customHeight="1"/>
    <row r="169" ht="49.5" customHeight="1"/>
    <row r="170" ht="49.5" customHeight="1"/>
    <row r="171" ht="49.5" customHeight="1"/>
    <row r="172" ht="49.5" customHeight="1"/>
    <row r="173" ht="49.5" customHeight="1"/>
    <row r="174" ht="49.5" customHeight="1"/>
    <row r="175" ht="49.5" customHeight="1"/>
    <row r="176" ht="49.5" customHeight="1"/>
    <row r="177" ht="49.5" customHeight="1"/>
    <row r="178" ht="49.5" customHeight="1"/>
    <row r="179" ht="49.5" customHeight="1"/>
    <row r="180" ht="49.5" customHeight="1"/>
    <row r="181" ht="49.5" customHeight="1"/>
    <row r="182" ht="49.5" customHeight="1"/>
    <row r="183" ht="49.5" customHeight="1"/>
    <row r="184" ht="49.5" customHeight="1"/>
    <row r="185" ht="49.5" customHeight="1"/>
    <row r="186" ht="49.5" customHeight="1"/>
    <row r="187" ht="49.5" customHeight="1"/>
    <row r="188" ht="49.5" customHeight="1"/>
    <row r="189" ht="49.5" customHeight="1"/>
    <row r="190" ht="49.5" customHeight="1"/>
    <row r="191" ht="49.5" customHeight="1"/>
    <row r="192" ht="49.5" customHeight="1"/>
    <row r="193" ht="49.5" customHeight="1"/>
    <row r="194" ht="49.5" customHeight="1"/>
    <row r="195" ht="49.5" customHeight="1"/>
    <row r="196" ht="49.5" customHeight="1"/>
    <row r="197" ht="49.5" customHeight="1"/>
    <row r="198" ht="49.5" customHeight="1"/>
    <row r="199" ht="49.5" customHeight="1"/>
    <row r="200" ht="49.5" customHeight="1"/>
    <row r="201" ht="49.5" customHeight="1"/>
    <row r="202" ht="49.5" customHeight="1"/>
    <row r="203" ht="49.5" customHeight="1"/>
    <row r="204" ht="49.5" customHeight="1"/>
    <row r="205" ht="49.5" customHeight="1"/>
    <row r="206" ht="49.5" customHeight="1"/>
    <row r="207" ht="49.5" customHeight="1"/>
    <row r="208" ht="49.5" customHeight="1"/>
    <row r="209" ht="49.5" customHeight="1"/>
    <row r="210" ht="49.5" customHeight="1"/>
    <row r="211" ht="49.5" customHeight="1"/>
    <row r="212" ht="49.5" customHeight="1"/>
    <row r="213" ht="49.5" customHeight="1"/>
    <row r="214" ht="49.5" customHeight="1"/>
    <row r="215" ht="49.5" customHeight="1"/>
    <row r="216" ht="49.5" customHeight="1"/>
    <row r="217" ht="49.5" customHeight="1"/>
    <row r="218" ht="49.5" customHeight="1"/>
    <row r="219" ht="49.5" customHeight="1"/>
    <row r="220" ht="49.5" customHeight="1"/>
    <row r="221" ht="49.5" customHeight="1"/>
    <row r="222" ht="49.5" customHeight="1"/>
    <row r="223" ht="49.5" customHeight="1"/>
    <row r="224" ht="49.5" customHeight="1"/>
    <row r="225" ht="49.5" customHeight="1"/>
    <row r="226" ht="49.5" customHeight="1"/>
    <row r="227" ht="49.5" customHeight="1"/>
    <row r="228" ht="49.5" customHeight="1"/>
    <row r="229" ht="49.5" customHeight="1"/>
    <row r="230" ht="49.5" customHeight="1"/>
    <row r="231" ht="49.5" customHeight="1"/>
    <row r="232" ht="49.5" customHeight="1"/>
    <row r="233" ht="49.5" customHeight="1"/>
    <row r="234" ht="49.5" customHeight="1"/>
    <row r="235" ht="49.5" customHeight="1"/>
    <row r="236" ht="49.5" customHeight="1"/>
    <row r="237" ht="49.5" customHeight="1"/>
    <row r="238" ht="49.5" customHeight="1"/>
    <row r="239" ht="49.5" customHeight="1"/>
    <row r="240" ht="49.5" customHeight="1"/>
    <row r="241" ht="49.5" customHeight="1"/>
    <row r="242" ht="49.5" customHeight="1"/>
    <row r="243" ht="49.5" customHeight="1"/>
    <row r="244" ht="49.5" customHeight="1"/>
    <row r="245" ht="49.5" customHeight="1"/>
    <row r="246" ht="49.5" customHeight="1"/>
    <row r="247" ht="49.5" customHeight="1"/>
    <row r="248" ht="49.5" customHeight="1"/>
    <row r="249" ht="49.5" customHeight="1"/>
    <row r="250" ht="49.5" customHeight="1"/>
    <row r="251" ht="49.5" customHeight="1"/>
    <row r="252" ht="49.5" customHeight="1"/>
    <row r="253" ht="49.5" customHeight="1"/>
    <row r="254" ht="49.5" customHeight="1"/>
    <row r="255" ht="49.5" customHeight="1"/>
    <row r="256" ht="49.5" customHeight="1"/>
    <row r="257" ht="49.5" customHeight="1"/>
    <row r="258" ht="49.5" customHeight="1"/>
    <row r="259" ht="49.5" customHeight="1"/>
    <row r="260" ht="49.5" customHeight="1"/>
    <row r="261" ht="49.5" customHeight="1"/>
    <row r="262" ht="49.5" customHeight="1"/>
    <row r="263" ht="49.5" customHeight="1"/>
    <row r="264" ht="49.5" customHeight="1"/>
    <row r="265" ht="49.5" customHeight="1"/>
    <row r="266" ht="49.5" customHeight="1"/>
    <row r="267" ht="49.5" customHeight="1"/>
    <row r="268" ht="49.5" customHeight="1"/>
    <row r="269" ht="49.5" customHeight="1"/>
    <row r="270" ht="49.5" customHeight="1"/>
    <row r="271" ht="49.5" customHeight="1"/>
    <row r="272" ht="49.5" customHeight="1"/>
    <row r="273" ht="49.5" customHeight="1"/>
    <row r="274" ht="49.5" customHeight="1"/>
    <row r="275" ht="49.5" customHeight="1"/>
    <row r="276" ht="49.5" customHeight="1"/>
    <row r="277" ht="49.5" customHeight="1"/>
    <row r="278" ht="49.5" customHeight="1"/>
    <row r="279" ht="49.5" customHeight="1"/>
    <row r="280" ht="49.5" customHeight="1"/>
    <row r="281" ht="49.5" customHeight="1"/>
    <row r="282" ht="49.5" customHeight="1"/>
    <row r="283" ht="49.5" customHeight="1"/>
    <row r="284" ht="49.5" customHeight="1"/>
    <row r="285" ht="49.5" customHeight="1"/>
    <row r="286" ht="49.5" customHeight="1"/>
    <row r="287" ht="49.5" customHeight="1"/>
    <row r="288" ht="49.5" customHeight="1"/>
    <row r="289" ht="49.5" customHeight="1"/>
    <row r="290" ht="49.5" customHeight="1"/>
    <row r="291" ht="49.5" customHeight="1"/>
    <row r="292" ht="49.5" customHeight="1"/>
    <row r="293" ht="49.5" customHeight="1"/>
    <row r="294" ht="49.5" customHeight="1"/>
    <row r="295" ht="49.5" customHeight="1"/>
    <row r="296" ht="49.5" customHeight="1"/>
    <row r="297" ht="49.5" customHeight="1"/>
    <row r="298" ht="49.5" customHeight="1"/>
    <row r="299" ht="49.5" customHeight="1"/>
    <row r="300" ht="49.5" customHeight="1"/>
    <row r="301" ht="49.5" customHeight="1"/>
    <row r="302" ht="49.5" customHeight="1"/>
    <row r="303" ht="49.5" customHeight="1"/>
    <row r="304" ht="49.5" customHeight="1"/>
    <row r="305" ht="49.5" customHeight="1"/>
    <row r="306" ht="49.5" customHeight="1"/>
    <row r="307" ht="49.5" customHeight="1"/>
    <row r="308" ht="49.5" customHeight="1"/>
    <row r="309" ht="49.5" customHeight="1"/>
    <row r="310" ht="49.5" customHeight="1"/>
    <row r="311" ht="49.5" customHeight="1"/>
    <row r="312" ht="49.5" customHeight="1"/>
    <row r="313" ht="49.5" customHeight="1"/>
    <row r="314" ht="49.5" customHeight="1"/>
    <row r="315" ht="49.5" customHeight="1"/>
    <row r="316" ht="49.5" customHeight="1"/>
    <row r="317" ht="49.5" customHeight="1"/>
    <row r="318" ht="49.5" customHeight="1"/>
    <row r="319" ht="49.5" customHeight="1"/>
    <row r="320" ht="49.5" customHeight="1"/>
    <row r="321" ht="49.5" customHeight="1"/>
    <row r="322" ht="49.5" customHeight="1"/>
    <row r="323" ht="49.5" customHeight="1"/>
    <row r="324" ht="49.5" customHeight="1"/>
    <row r="325" ht="49.5" customHeight="1"/>
    <row r="326" ht="49.5" customHeight="1"/>
    <row r="327" ht="49.5" customHeight="1"/>
    <row r="328" ht="49.5" customHeight="1"/>
    <row r="329" ht="49.5" customHeight="1"/>
    <row r="330" ht="49.5" customHeight="1"/>
    <row r="331" ht="49.5" customHeight="1"/>
    <row r="332" ht="49.5" customHeight="1"/>
    <row r="333" ht="49.5" customHeight="1"/>
    <row r="334" ht="49.5" customHeight="1"/>
    <row r="335" ht="49.5" customHeight="1"/>
    <row r="336" ht="49.5" customHeight="1"/>
    <row r="337" ht="49.5" customHeight="1"/>
    <row r="338" ht="49.5" customHeight="1"/>
    <row r="339" ht="49.5" customHeight="1"/>
    <row r="340" ht="49.5" customHeight="1"/>
    <row r="341" ht="49.5" customHeight="1"/>
    <row r="342" ht="49.5" customHeight="1"/>
    <row r="343" ht="49.5" customHeight="1"/>
    <row r="344" ht="49.5" customHeight="1"/>
    <row r="345" ht="49.5" customHeight="1"/>
    <row r="346" ht="49.5" customHeight="1"/>
    <row r="347" ht="49.5" customHeight="1"/>
    <row r="348" ht="49.5" customHeight="1"/>
    <row r="349" ht="49.5" customHeight="1"/>
    <row r="350" ht="49.5" customHeight="1"/>
    <row r="351" ht="49.5" customHeight="1"/>
    <row r="352" ht="49.5" customHeight="1"/>
    <row r="353" ht="49.5" customHeight="1"/>
    <row r="354" ht="49.5" customHeight="1"/>
    <row r="355" ht="49.5" customHeight="1"/>
    <row r="356" ht="49.5" customHeight="1"/>
    <row r="357" ht="49.5" customHeight="1"/>
    <row r="358" ht="49.5" customHeight="1"/>
    <row r="359" ht="49.5" customHeight="1"/>
    <row r="360" ht="49.5" customHeight="1"/>
    <row r="361" ht="49.5" customHeight="1"/>
    <row r="362" ht="49.5" customHeight="1"/>
    <row r="363" ht="49.5" customHeight="1"/>
    <row r="364" ht="49.5" customHeight="1"/>
    <row r="365" ht="49.5" customHeight="1"/>
    <row r="366" ht="49.5" customHeight="1"/>
    <row r="367" ht="49.5" customHeight="1"/>
    <row r="368" ht="49.5" customHeight="1"/>
    <row r="369" ht="49.5" customHeight="1"/>
    <row r="370" ht="49.5" customHeight="1"/>
    <row r="371" ht="49.5" customHeight="1"/>
    <row r="372" ht="49.5" customHeight="1"/>
    <row r="373" ht="49.5" customHeight="1"/>
    <row r="374" ht="49.5" customHeight="1"/>
    <row r="375" ht="49.5" customHeight="1"/>
    <row r="376" ht="49.5" customHeight="1"/>
    <row r="377" ht="49.5" customHeight="1"/>
    <row r="378" ht="49.5" customHeight="1"/>
    <row r="379" ht="49.5" customHeight="1"/>
    <row r="380" ht="49.5" customHeight="1"/>
    <row r="381" ht="49.5" customHeight="1"/>
    <row r="382" ht="49.5" customHeight="1"/>
    <row r="383" ht="49.5" customHeight="1"/>
    <row r="384" ht="49.5" customHeight="1"/>
    <row r="385" ht="49.5" customHeight="1"/>
    <row r="386" ht="49.5" customHeight="1"/>
    <row r="387" ht="49.5" customHeight="1"/>
    <row r="388" ht="49.5" customHeight="1"/>
    <row r="389" ht="49.5" customHeight="1"/>
    <row r="390" ht="49.5" customHeight="1"/>
    <row r="391" ht="49.5" customHeight="1"/>
    <row r="392" ht="49.5" customHeight="1"/>
    <row r="393" ht="49.5" customHeight="1"/>
    <row r="394" ht="49.5" customHeight="1"/>
    <row r="395" ht="49.5" customHeight="1"/>
    <row r="396" ht="49.5" customHeight="1"/>
    <row r="397" ht="49.5" customHeight="1"/>
    <row r="398" ht="49.5" customHeight="1"/>
    <row r="399" ht="49.5" customHeight="1"/>
    <row r="400" ht="49.5" customHeight="1"/>
    <row r="401" ht="49.5" customHeight="1"/>
    <row r="402" ht="49.5" customHeight="1"/>
    <row r="403" ht="49.5" customHeight="1"/>
    <row r="404" ht="49.5" customHeight="1"/>
    <row r="405" ht="49.5" customHeight="1"/>
    <row r="406" ht="49.5" customHeight="1"/>
    <row r="407" ht="49.5" customHeight="1"/>
    <row r="408" ht="49.5" customHeight="1"/>
    <row r="409" ht="49.5" customHeight="1"/>
    <row r="410" ht="49.5" customHeight="1"/>
    <row r="411" ht="49.5" customHeight="1"/>
    <row r="412" ht="49.5" customHeight="1"/>
    <row r="413" ht="49.5" customHeight="1"/>
    <row r="414" ht="49.5" customHeight="1"/>
    <row r="415" ht="49.5" customHeight="1"/>
    <row r="416" ht="49.5" customHeight="1"/>
    <row r="417" ht="49.5" customHeight="1"/>
    <row r="418" ht="49.5" customHeight="1"/>
    <row r="419" ht="49.5" customHeight="1"/>
    <row r="420" ht="49.5" customHeight="1"/>
    <row r="421" ht="49.5" customHeight="1"/>
    <row r="422" ht="49.5" customHeight="1"/>
    <row r="423" ht="49.5" customHeight="1"/>
    <row r="424" ht="49.5" customHeight="1"/>
    <row r="425" ht="49.5" customHeight="1"/>
    <row r="426" ht="49.5" customHeight="1"/>
    <row r="427" ht="49.5" customHeight="1"/>
    <row r="428" ht="49.5" customHeight="1"/>
    <row r="429" ht="49.5" customHeight="1"/>
    <row r="430" ht="49.5" customHeight="1"/>
    <row r="431" ht="49.5" customHeight="1"/>
    <row r="432" ht="49.5" customHeight="1"/>
    <row r="433" ht="49.5" customHeight="1"/>
    <row r="434" ht="49.5" customHeight="1"/>
    <row r="435" ht="49.5" customHeight="1"/>
    <row r="436" ht="49.5" customHeight="1"/>
    <row r="437" ht="49.5" customHeight="1"/>
    <row r="438" ht="49.5" customHeight="1"/>
    <row r="439" ht="49.5" customHeight="1"/>
    <row r="440" ht="49.5" customHeight="1"/>
    <row r="441" ht="49.5" customHeight="1"/>
    <row r="442" ht="49.5" customHeight="1"/>
    <row r="443" ht="49.5" customHeight="1"/>
    <row r="444" ht="49.5" customHeight="1"/>
    <row r="445" ht="49.5" customHeight="1"/>
    <row r="446" ht="49.5" customHeight="1"/>
    <row r="447" ht="49.5" customHeight="1"/>
    <row r="448" ht="49.5" customHeight="1"/>
    <row r="449" ht="49.5" customHeight="1"/>
    <row r="450" ht="49.5" customHeight="1"/>
    <row r="451" ht="49.5" customHeight="1"/>
    <row r="452" ht="49.5" customHeight="1"/>
    <row r="453" ht="49.5" customHeight="1"/>
    <row r="454" ht="49.5" customHeight="1"/>
    <row r="455" ht="49.5" customHeight="1"/>
    <row r="456" ht="49.5" customHeight="1"/>
    <row r="457" ht="49.5" customHeight="1"/>
    <row r="458" ht="49.5" customHeight="1"/>
    <row r="459" ht="49.5" customHeight="1"/>
    <row r="460" ht="49.5" customHeight="1"/>
    <row r="461" ht="49.5" customHeight="1"/>
    <row r="462" ht="49.5" customHeight="1"/>
    <row r="463" ht="49.5" customHeight="1"/>
    <row r="464" ht="49.5" customHeight="1"/>
    <row r="465" ht="49.5" customHeight="1"/>
    <row r="466" ht="49.5" customHeight="1"/>
    <row r="467" ht="49.5" customHeight="1"/>
    <row r="468" ht="49.5" customHeight="1"/>
    <row r="469" ht="49.5" customHeight="1"/>
    <row r="470" ht="49.5" customHeight="1"/>
    <row r="471" ht="49.5" customHeight="1"/>
    <row r="472" ht="49.5" customHeight="1"/>
    <row r="473" ht="49.5" customHeight="1"/>
    <row r="474" ht="49.5" customHeight="1"/>
    <row r="475" ht="49.5" customHeight="1"/>
    <row r="476" ht="49.5" customHeight="1"/>
    <row r="477" ht="49.5" customHeight="1"/>
    <row r="478" ht="49.5" customHeight="1"/>
    <row r="479" ht="49.5" customHeight="1"/>
    <row r="480" ht="49.5" customHeight="1"/>
    <row r="481" ht="49.5" customHeight="1"/>
    <row r="482" ht="49.5" customHeight="1"/>
    <row r="483" ht="49.5" customHeight="1"/>
    <row r="484" ht="49.5" customHeight="1"/>
    <row r="485" ht="49.5" customHeight="1"/>
    <row r="486" ht="49.5" customHeight="1"/>
    <row r="487" ht="49.5" customHeight="1"/>
    <row r="488" ht="49.5" customHeight="1"/>
    <row r="489" ht="49.5" customHeight="1"/>
    <row r="490" ht="49.5" customHeight="1"/>
    <row r="491" ht="49.5" customHeight="1"/>
    <row r="492" ht="49.5" customHeight="1"/>
    <row r="493" ht="49.5" customHeight="1"/>
    <row r="494" ht="49.5" customHeight="1"/>
    <row r="495" ht="49.5" customHeight="1"/>
    <row r="496" ht="49.5" customHeight="1"/>
    <row r="497" ht="49.5" customHeight="1"/>
    <row r="498" ht="49.5" customHeight="1"/>
    <row r="499" ht="49.5" customHeight="1"/>
    <row r="500" ht="49.5" customHeight="1"/>
    <row r="501" ht="49.5" customHeight="1"/>
    <row r="502" ht="49.5" customHeight="1"/>
    <row r="503" ht="49.5" customHeight="1"/>
    <row r="504" ht="49.5" customHeight="1"/>
    <row r="505" ht="49.5" customHeight="1"/>
    <row r="506" ht="49.5" customHeight="1"/>
    <row r="507" ht="49.5" customHeight="1"/>
    <row r="508" ht="49.5" customHeight="1"/>
    <row r="509" ht="49.5" customHeight="1"/>
    <row r="510" ht="49.5" customHeight="1"/>
    <row r="511" ht="49.5" customHeight="1"/>
    <row r="512" ht="49.5" customHeight="1"/>
    <row r="513" ht="49.5" customHeight="1"/>
    <row r="514" ht="49.5" customHeight="1"/>
    <row r="515" ht="49.5" customHeight="1"/>
    <row r="516" ht="49.5" customHeight="1"/>
    <row r="517" ht="49.5" customHeight="1"/>
    <row r="518" ht="49.5" customHeight="1"/>
    <row r="519" ht="49.5" customHeight="1"/>
    <row r="520" ht="49.5" customHeight="1"/>
    <row r="521" ht="49.5" customHeight="1"/>
    <row r="522" ht="49.5" customHeight="1"/>
    <row r="523" ht="49.5" customHeight="1"/>
    <row r="524" ht="49.5" customHeight="1"/>
    <row r="525" ht="49.5" customHeight="1"/>
    <row r="526" ht="49.5" customHeight="1"/>
    <row r="527" ht="49.5" customHeight="1"/>
    <row r="528" ht="49.5" customHeight="1"/>
    <row r="529" ht="49.5" customHeight="1"/>
    <row r="530" ht="49.5" customHeight="1"/>
    <row r="531" ht="49.5" customHeight="1"/>
    <row r="532" ht="49.5" customHeight="1"/>
    <row r="533" ht="49.5" customHeight="1"/>
    <row r="534" ht="49.5" customHeight="1"/>
    <row r="535" ht="49.5" customHeight="1"/>
    <row r="536" ht="49.5" customHeight="1"/>
    <row r="537" ht="49.5" customHeight="1"/>
    <row r="538" ht="49.5" customHeight="1"/>
    <row r="539" ht="49.5" customHeight="1"/>
    <row r="540" ht="49.5" customHeight="1"/>
    <row r="541" ht="49.5" customHeight="1"/>
    <row r="542" ht="49.5" customHeight="1"/>
    <row r="543" ht="49.5" customHeight="1"/>
    <row r="544" ht="49.5" customHeight="1"/>
    <row r="545" ht="49.5" customHeight="1"/>
    <row r="546" ht="49.5" customHeight="1"/>
    <row r="547" ht="49.5" customHeight="1"/>
    <row r="548" ht="49.5" customHeight="1"/>
    <row r="549" ht="49.5" customHeight="1"/>
    <row r="550" ht="49.5" customHeight="1"/>
    <row r="551" ht="49.5" customHeight="1"/>
    <row r="552" ht="49.5" customHeight="1"/>
    <row r="553" ht="49.5" customHeight="1"/>
    <row r="554" ht="49.5" customHeight="1"/>
    <row r="555" ht="49.5" customHeight="1"/>
    <row r="556" ht="49.5" customHeight="1"/>
    <row r="557" ht="49.5" customHeight="1"/>
    <row r="558" ht="49.5" customHeight="1"/>
    <row r="559" ht="49.5" customHeight="1"/>
    <row r="560" ht="49.5" customHeight="1"/>
    <row r="561" ht="49.5" customHeight="1"/>
    <row r="562" ht="49.5" customHeight="1"/>
    <row r="563" ht="49.5" customHeight="1"/>
    <row r="564" ht="49.5" customHeight="1"/>
    <row r="565" ht="49.5" customHeight="1"/>
    <row r="566" ht="49.5" customHeight="1"/>
    <row r="567" ht="49.5" customHeight="1"/>
    <row r="568" ht="49.5" customHeight="1"/>
    <row r="569" ht="49.5" customHeight="1"/>
    <row r="570" ht="49.5" customHeight="1"/>
    <row r="571" ht="49.5" customHeight="1"/>
    <row r="572" ht="49.5" customHeight="1"/>
    <row r="573" ht="49.5" customHeight="1"/>
    <row r="574" ht="49.5" customHeight="1"/>
    <row r="575" ht="49.5" customHeight="1"/>
    <row r="576" ht="49.5" customHeight="1"/>
    <row r="577" ht="49.5" customHeight="1"/>
    <row r="578" ht="49.5" customHeight="1"/>
    <row r="579" ht="49.5" customHeight="1"/>
    <row r="580" ht="49.5" customHeight="1"/>
    <row r="581" ht="49.5" customHeight="1"/>
    <row r="582" ht="49.5" customHeight="1"/>
    <row r="583" ht="49.5" customHeight="1"/>
    <row r="584" ht="49.5" customHeight="1"/>
    <row r="585" ht="49.5" customHeight="1"/>
    <row r="586" ht="49.5" customHeight="1"/>
    <row r="587" ht="49.5" customHeight="1"/>
    <row r="588" ht="49.5" customHeight="1"/>
    <row r="589" ht="49.5" customHeight="1"/>
    <row r="590" ht="49.5" customHeight="1"/>
    <row r="591" ht="49.5" customHeight="1"/>
    <row r="592" ht="49.5" customHeight="1"/>
    <row r="593" ht="49.5" customHeight="1"/>
    <row r="594" ht="49.5" customHeight="1"/>
    <row r="595" ht="49.5" customHeight="1"/>
    <row r="596" ht="49.5" customHeight="1"/>
    <row r="597" ht="49.5" customHeight="1"/>
    <row r="598" ht="49.5" customHeight="1"/>
    <row r="599" ht="49.5" customHeight="1"/>
    <row r="600" ht="49.5" customHeight="1"/>
    <row r="601" ht="49.5" customHeight="1"/>
    <row r="602" ht="49.5" customHeight="1"/>
    <row r="603" ht="49.5" customHeight="1"/>
    <row r="604" ht="49.5" customHeight="1"/>
    <row r="605" ht="49.5" customHeight="1"/>
    <row r="606" ht="49.5" customHeight="1"/>
    <row r="607" ht="49.5" customHeight="1"/>
    <row r="608" ht="49.5" customHeight="1"/>
    <row r="609" ht="49.5" customHeight="1"/>
    <row r="610" ht="49.5" customHeight="1"/>
    <row r="611" ht="49.5" customHeight="1"/>
    <row r="612" ht="49.5" customHeight="1"/>
    <row r="613" ht="49.5" customHeight="1"/>
    <row r="614" ht="49.5" customHeight="1"/>
    <row r="615" ht="49.5" customHeight="1"/>
    <row r="616" ht="49.5" customHeight="1"/>
    <row r="617" ht="49.5" customHeight="1"/>
    <row r="618" ht="49.5" customHeight="1"/>
    <row r="619" ht="49.5" customHeight="1"/>
    <row r="620" ht="49.5" customHeight="1"/>
    <row r="621" ht="49.5" customHeight="1"/>
    <row r="622" ht="49.5" customHeight="1"/>
    <row r="623" ht="49.5" customHeight="1"/>
    <row r="624" ht="49.5" customHeight="1"/>
    <row r="625" ht="49.5" customHeight="1"/>
    <row r="626" ht="49.5" customHeight="1"/>
    <row r="627" ht="49.5" customHeight="1"/>
    <row r="628" ht="49.5" customHeight="1"/>
    <row r="629" ht="49.5" customHeight="1"/>
    <row r="630" ht="49.5" customHeight="1"/>
    <row r="631" ht="49.5" customHeight="1"/>
    <row r="632" ht="49.5" customHeight="1"/>
    <row r="633" ht="49.5" customHeight="1"/>
    <row r="634" ht="49.5" customHeight="1"/>
    <row r="635" ht="49.5" customHeight="1"/>
    <row r="636" ht="49.5" customHeight="1"/>
    <row r="637" ht="49.5" customHeight="1"/>
    <row r="638" ht="49.5" customHeight="1"/>
    <row r="639" ht="49.5" customHeight="1"/>
    <row r="640" ht="49.5" customHeight="1"/>
    <row r="641" ht="49.5" customHeight="1"/>
    <row r="642" ht="49.5" customHeight="1"/>
    <row r="643" ht="49.5" customHeight="1"/>
    <row r="644" ht="49.5" customHeight="1"/>
    <row r="645" ht="49.5" customHeight="1"/>
    <row r="646" ht="49.5" customHeight="1"/>
    <row r="647" ht="49.5" customHeight="1"/>
    <row r="648" ht="49.5" customHeight="1"/>
    <row r="649" ht="49.5" customHeight="1"/>
    <row r="650" ht="49.5" customHeight="1"/>
    <row r="651" ht="49.5" customHeight="1"/>
    <row r="652" ht="49.5" customHeight="1"/>
    <row r="653" ht="49.5" customHeight="1"/>
    <row r="654" ht="49.5" customHeight="1"/>
    <row r="655" ht="49.5" customHeight="1"/>
    <row r="656" ht="49.5" customHeight="1"/>
    <row r="657" ht="49.5" customHeight="1"/>
    <row r="658" ht="49.5" customHeight="1"/>
    <row r="659" ht="49.5" customHeight="1"/>
    <row r="660" ht="49.5" customHeight="1"/>
    <row r="661" ht="49.5" customHeight="1"/>
    <row r="662" ht="49.5" customHeight="1"/>
    <row r="663" ht="49.5" customHeight="1"/>
    <row r="664" ht="49.5" customHeight="1"/>
    <row r="665" ht="49.5" customHeight="1"/>
    <row r="666" ht="49.5" customHeight="1"/>
    <row r="667" ht="49.5" customHeight="1"/>
    <row r="668" ht="49.5" customHeight="1"/>
    <row r="669" ht="49.5" customHeight="1"/>
    <row r="670" ht="49.5" customHeight="1"/>
    <row r="671" ht="49.5" customHeight="1"/>
    <row r="672" ht="49.5" customHeight="1"/>
    <row r="673" ht="49.5" customHeight="1"/>
    <row r="674" ht="49.5" customHeight="1"/>
    <row r="675" ht="49.5" customHeight="1"/>
    <row r="676" ht="49.5" customHeight="1"/>
    <row r="677" ht="49.5" customHeight="1"/>
    <row r="678" ht="49.5" customHeight="1"/>
    <row r="679" ht="49.5" customHeight="1"/>
    <row r="680" ht="49.5" customHeight="1"/>
    <row r="681" ht="49.5" customHeight="1"/>
    <row r="682" ht="49.5" customHeight="1"/>
    <row r="683" ht="49.5" customHeight="1"/>
    <row r="684" ht="49.5" customHeight="1"/>
    <row r="685" ht="49.5" customHeight="1"/>
    <row r="686" ht="49.5" customHeight="1"/>
    <row r="687" ht="49.5" customHeight="1"/>
    <row r="688" ht="49.5" customHeight="1"/>
    <row r="689" ht="49.5" customHeight="1"/>
    <row r="690" ht="49.5" customHeight="1"/>
    <row r="691" ht="49.5" customHeight="1"/>
    <row r="692" ht="49.5" customHeight="1"/>
    <row r="693" ht="49.5" customHeight="1"/>
    <row r="694" ht="49.5" customHeight="1"/>
    <row r="695" ht="49.5" customHeight="1"/>
    <row r="696" ht="49.5" customHeight="1"/>
    <row r="697" ht="49.5" customHeight="1"/>
    <row r="698" ht="49.5" customHeight="1"/>
    <row r="699" ht="49.5" customHeight="1"/>
    <row r="700" ht="49.5" customHeight="1"/>
    <row r="701" ht="49.5" customHeight="1"/>
    <row r="702" ht="49.5" customHeight="1"/>
    <row r="703" ht="49.5" customHeight="1"/>
    <row r="704" ht="49.5" customHeight="1"/>
    <row r="705" ht="49.5" customHeight="1"/>
    <row r="706" ht="49.5" customHeight="1"/>
    <row r="707" ht="49.5" customHeight="1"/>
    <row r="708" ht="49.5" customHeight="1"/>
    <row r="709" ht="49.5" customHeight="1"/>
    <row r="710" ht="49.5" customHeight="1"/>
    <row r="711" ht="49.5" customHeight="1"/>
    <row r="712" ht="49.5" customHeight="1"/>
    <row r="713" ht="49.5" customHeight="1"/>
    <row r="714" ht="49.5" customHeight="1"/>
    <row r="715" ht="49.5" customHeight="1"/>
    <row r="716" ht="49.5" customHeight="1"/>
    <row r="717" ht="49.5" customHeight="1"/>
    <row r="718" ht="49.5" customHeight="1"/>
    <row r="719" ht="49.5" customHeight="1"/>
    <row r="720" ht="49.5" customHeight="1"/>
    <row r="721" ht="49.5" customHeight="1"/>
    <row r="722" ht="49.5" customHeight="1"/>
    <row r="723" ht="49.5" customHeight="1"/>
    <row r="724" ht="49.5" customHeight="1"/>
    <row r="725" ht="49.5" customHeight="1"/>
    <row r="726" ht="49.5" customHeight="1"/>
    <row r="727" ht="49.5" customHeight="1"/>
    <row r="728" ht="49.5" customHeight="1"/>
    <row r="729" ht="49.5" customHeight="1"/>
    <row r="730" ht="49.5" customHeight="1"/>
    <row r="731" ht="49.5" customHeight="1"/>
    <row r="732" ht="49.5" customHeight="1"/>
    <row r="733" ht="49.5" customHeight="1"/>
    <row r="734" ht="49.5" customHeight="1"/>
    <row r="735" ht="49.5" customHeight="1"/>
    <row r="736" ht="49.5" customHeight="1"/>
    <row r="737" ht="49.5" customHeight="1"/>
    <row r="738" ht="49.5" customHeight="1"/>
    <row r="739" ht="49.5" customHeight="1"/>
    <row r="740" ht="49.5" customHeight="1"/>
    <row r="741" ht="49.5" customHeight="1"/>
    <row r="742" ht="49.5" customHeight="1"/>
    <row r="743" ht="49.5" customHeight="1"/>
    <row r="744" ht="49.5" customHeight="1"/>
    <row r="745" ht="49.5" customHeight="1"/>
    <row r="746" ht="49.5" customHeight="1"/>
    <row r="747" ht="49.5" customHeight="1"/>
    <row r="748" ht="49.5" customHeight="1"/>
    <row r="749" ht="49.5" customHeight="1"/>
    <row r="750" ht="49.5" customHeight="1"/>
    <row r="751" ht="49.5" customHeight="1"/>
    <row r="752" ht="49.5" customHeight="1"/>
    <row r="753" ht="49.5" customHeight="1"/>
    <row r="754" ht="49.5" customHeight="1"/>
    <row r="755" ht="49.5" customHeight="1"/>
    <row r="756" ht="49.5" customHeight="1"/>
    <row r="757" ht="49.5" customHeight="1"/>
    <row r="758" ht="49.5" customHeight="1"/>
    <row r="759" ht="49.5" customHeight="1"/>
    <row r="760" ht="49.5" customHeight="1"/>
    <row r="761" ht="49.5" customHeight="1"/>
    <row r="762" ht="49.5" customHeight="1"/>
    <row r="763" ht="49.5" customHeight="1"/>
    <row r="764" ht="49.5" customHeight="1"/>
    <row r="765" ht="49.5" customHeight="1"/>
    <row r="766" ht="49.5" customHeight="1"/>
    <row r="767" ht="49.5" customHeight="1"/>
    <row r="768" ht="49.5" customHeight="1"/>
    <row r="769" ht="49.5" customHeight="1"/>
    <row r="770" ht="49.5" customHeight="1"/>
    <row r="771" ht="49.5" customHeight="1"/>
    <row r="772" ht="49.5" customHeight="1"/>
    <row r="773" ht="49.5" customHeight="1"/>
    <row r="774" ht="49.5" customHeight="1"/>
    <row r="775" ht="49.5" customHeight="1"/>
    <row r="776" ht="49.5" customHeight="1"/>
    <row r="777" ht="49.5" customHeight="1"/>
    <row r="778" ht="49.5" customHeight="1"/>
    <row r="779" ht="49.5" customHeight="1"/>
    <row r="780" ht="49.5" customHeight="1"/>
    <row r="781" ht="49.5" customHeight="1"/>
    <row r="782" ht="49.5" customHeight="1"/>
    <row r="783" ht="49.5" customHeight="1"/>
    <row r="784" ht="49.5" customHeight="1"/>
    <row r="785" ht="49.5" customHeight="1"/>
    <row r="786" ht="49.5" customHeight="1"/>
    <row r="787" ht="49.5" customHeight="1"/>
    <row r="788" ht="49.5" customHeight="1"/>
    <row r="789" ht="49.5" customHeight="1"/>
    <row r="790" ht="49.5" customHeight="1"/>
    <row r="791" ht="49.5" customHeight="1"/>
    <row r="792" ht="49.5" customHeight="1"/>
    <row r="793" ht="49.5" customHeight="1"/>
    <row r="794" ht="49.5" customHeight="1"/>
    <row r="795" ht="49.5" customHeight="1"/>
    <row r="796" ht="49.5" customHeight="1"/>
    <row r="797" ht="49.5" customHeight="1"/>
    <row r="798" ht="49.5" customHeight="1"/>
    <row r="799" ht="49.5" customHeight="1"/>
    <row r="800" ht="49.5" customHeight="1"/>
    <row r="801" ht="49.5" customHeight="1"/>
    <row r="802" ht="49.5" customHeight="1"/>
    <row r="803" ht="49.5" customHeight="1"/>
    <row r="804" ht="49.5" customHeight="1"/>
    <row r="805" ht="49.5" customHeight="1"/>
    <row r="806" ht="49.5" customHeight="1"/>
    <row r="807" ht="49.5" customHeight="1"/>
    <row r="808" ht="49.5" customHeight="1"/>
    <row r="809" ht="49.5" customHeight="1"/>
    <row r="810" ht="49.5" customHeight="1"/>
    <row r="811" ht="49.5" customHeight="1"/>
    <row r="812" ht="49.5" customHeight="1"/>
    <row r="813" ht="49.5" customHeight="1"/>
    <row r="814" ht="49.5" customHeight="1"/>
    <row r="815" ht="49.5" customHeight="1"/>
    <row r="816" ht="49.5" customHeight="1"/>
    <row r="817" ht="49.5" customHeight="1"/>
    <row r="818" ht="49.5" customHeight="1"/>
    <row r="819" ht="49.5" customHeight="1"/>
    <row r="820" ht="49.5" customHeight="1"/>
    <row r="821" ht="49.5" customHeight="1"/>
    <row r="822" ht="49.5" customHeight="1"/>
    <row r="823" ht="49.5" customHeight="1"/>
    <row r="824" ht="49.5" customHeight="1"/>
    <row r="825" ht="49.5" customHeight="1"/>
    <row r="826" ht="49.5" customHeight="1"/>
    <row r="827" ht="49.5" customHeight="1"/>
    <row r="828" ht="49.5" customHeight="1"/>
    <row r="829" ht="49.5" customHeight="1"/>
    <row r="830" ht="49.5" customHeight="1"/>
    <row r="831" ht="49.5" customHeight="1"/>
    <row r="832" ht="49.5" customHeight="1"/>
    <row r="833" ht="49.5" customHeight="1"/>
    <row r="834" ht="49.5" customHeight="1"/>
    <row r="835" ht="49.5" customHeight="1"/>
    <row r="836" ht="49.5" customHeight="1"/>
    <row r="837" ht="49.5" customHeight="1"/>
    <row r="838" ht="49.5" customHeight="1"/>
    <row r="839" ht="49.5" customHeight="1"/>
    <row r="840" ht="49.5" customHeight="1"/>
    <row r="841" ht="49.5" customHeight="1"/>
    <row r="842" ht="49.5" customHeight="1"/>
    <row r="843" ht="49.5" customHeight="1"/>
    <row r="844" ht="49.5" customHeight="1"/>
    <row r="845" ht="49.5" customHeight="1"/>
    <row r="846" ht="49.5" customHeight="1"/>
    <row r="847" ht="49.5" customHeight="1"/>
    <row r="848" ht="49.5" customHeight="1"/>
    <row r="849" ht="49.5" customHeight="1"/>
    <row r="850" ht="49.5" customHeight="1"/>
    <row r="851" ht="49.5" customHeight="1"/>
    <row r="852" ht="49.5" customHeight="1"/>
    <row r="853" ht="49.5" customHeight="1"/>
    <row r="854" ht="49.5" customHeight="1"/>
    <row r="855" ht="49.5" customHeight="1"/>
    <row r="856" ht="49.5" customHeight="1"/>
    <row r="857" ht="49.5" customHeight="1"/>
    <row r="858" ht="49.5" customHeight="1"/>
    <row r="859" ht="49.5" customHeight="1"/>
    <row r="860" ht="49.5" customHeight="1"/>
    <row r="861" ht="49.5" customHeight="1"/>
    <row r="862" ht="49.5" customHeight="1"/>
    <row r="863" ht="49.5" customHeight="1"/>
    <row r="864" ht="49.5" customHeight="1"/>
    <row r="865" ht="49.5" customHeight="1"/>
    <row r="866" ht="49.5" customHeight="1"/>
    <row r="867" ht="49.5" customHeight="1"/>
    <row r="868" ht="49.5" customHeight="1"/>
    <row r="869" ht="49.5" customHeight="1"/>
    <row r="870" ht="49.5" customHeight="1"/>
    <row r="871" ht="49.5" customHeight="1"/>
    <row r="872" ht="49.5" customHeight="1"/>
    <row r="873" ht="49.5" customHeight="1"/>
    <row r="874" ht="49.5" customHeight="1"/>
    <row r="875" ht="49.5" customHeight="1"/>
    <row r="876" ht="49.5" customHeight="1"/>
    <row r="877" ht="49.5" customHeight="1"/>
    <row r="878" ht="49.5" customHeight="1"/>
    <row r="879" ht="49.5" customHeight="1"/>
    <row r="880" ht="49.5" customHeight="1"/>
    <row r="881" ht="49.5" customHeight="1"/>
    <row r="882" ht="49.5" customHeight="1"/>
    <row r="883" ht="49.5" customHeight="1"/>
    <row r="884" ht="49.5" customHeight="1"/>
    <row r="885" ht="49.5" customHeight="1"/>
    <row r="886" ht="49.5" customHeight="1"/>
    <row r="887" ht="49.5" customHeight="1"/>
    <row r="888" ht="49.5" customHeight="1"/>
    <row r="889" ht="49.5" customHeight="1"/>
    <row r="890" ht="49.5" customHeight="1"/>
    <row r="891" ht="49.5" customHeight="1"/>
    <row r="892" ht="49.5" customHeight="1"/>
    <row r="893" ht="49.5" customHeight="1"/>
    <row r="894" ht="49.5" customHeight="1"/>
    <row r="895" ht="49.5" customHeight="1"/>
    <row r="896" ht="49.5" customHeight="1"/>
    <row r="897" ht="49.5" customHeight="1"/>
    <row r="898" ht="49.5" customHeight="1"/>
    <row r="899" ht="49.5" customHeight="1"/>
    <row r="900" ht="49.5" customHeight="1"/>
    <row r="901" ht="49.5" customHeight="1"/>
    <row r="902" ht="49.5" customHeight="1"/>
    <row r="903" ht="49.5" customHeight="1"/>
    <row r="904" ht="49.5" customHeight="1"/>
    <row r="905" ht="49.5" customHeight="1"/>
    <row r="906" ht="49.5" customHeight="1"/>
    <row r="907" ht="49.5" customHeight="1"/>
    <row r="908" ht="49.5" customHeight="1"/>
    <row r="909" ht="49.5" customHeight="1"/>
    <row r="910" ht="49.5" customHeight="1"/>
    <row r="911" ht="49.5" customHeight="1"/>
    <row r="912" ht="49.5" customHeight="1"/>
    <row r="913" ht="49.5" customHeight="1"/>
    <row r="914" ht="49.5" customHeight="1"/>
    <row r="915" ht="49.5" customHeight="1"/>
    <row r="916" ht="49.5" customHeight="1"/>
    <row r="917" ht="49.5" customHeight="1"/>
    <row r="918" ht="49.5" customHeight="1"/>
    <row r="919" ht="49.5" customHeight="1"/>
    <row r="920" ht="49.5" customHeight="1"/>
    <row r="921" ht="49.5" customHeight="1"/>
    <row r="922" ht="49.5" customHeight="1"/>
    <row r="923" ht="49.5" customHeight="1"/>
    <row r="924" ht="49.5" customHeight="1"/>
    <row r="925" ht="49.5" customHeight="1"/>
    <row r="926" ht="49.5" customHeight="1"/>
    <row r="927" ht="49.5" customHeight="1"/>
    <row r="928" ht="49.5" customHeight="1"/>
    <row r="929" ht="49.5" customHeight="1"/>
    <row r="930" ht="49.5" customHeight="1"/>
    <row r="931" ht="49.5" customHeight="1"/>
    <row r="932" ht="49.5" customHeight="1"/>
    <row r="933" ht="49.5" customHeight="1"/>
    <row r="934" ht="49.5" customHeight="1"/>
    <row r="935" ht="49.5" customHeight="1"/>
    <row r="936" ht="49.5" customHeight="1"/>
    <row r="937" ht="49.5" customHeight="1"/>
    <row r="938" ht="49.5" customHeight="1"/>
    <row r="939" ht="49.5" customHeight="1"/>
    <row r="940" ht="49.5" customHeight="1"/>
    <row r="941" ht="49.5" customHeight="1"/>
    <row r="942" ht="49.5" customHeight="1"/>
    <row r="943" ht="49.5" customHeight="1"/>
    <row r="944" ht="49.5" customHeight="1"/>
    <row r="945" ht="49.5" customHeight="1"/>
    <row r="946" ht="49.5" customHeight="1"/>
    <row r="947" ht="49.5" customHeight="1"/>
    <row r="948" ht="49.5" customHeight="1"/>
    <row r="949" ht="49.5" customHeight="1"/>
    <row r="950" ht="49.5" customHeight="1"/>
    <row r="951" ht="49.5" customHeight="1"/>
    <row r="952" ht="49.5" customHeight="1"/>
    <row r="953" ht="49.5" customHeight="1"/>
    <row r="954" ht="49.5" customHeight="1"/>
    <row r="955" ht="49.5" customHeight="1"/>
    <row r="956" ht="49.5" customHeight="1"/>
    <row r="957" ht="49.5" customHeight="1"/>
    <row r="958" ht="49.5" customHeight="1"/>
    <row r="959" ht="49.5" customHeight="1"/>
    <row r="960" ht="49.5" customHeight="1"/>
    <row r="961" ht="49.5" customHeight="1"/>
    <row r="962" ht="49.5" customHeight="1"/>
    <row r="963" ht="49.5" customHeight="1"/>
    <row r="964" ht="49.5" customHeight="1"/>
    <row r="965" ht="49.5" customHeight="1"/>
    <row r="966" ht="49.5" customHeight="1"/>
    <row r="967" ht="49.5" customHeight="1"/>
    <row r="968" ht="49.5" customHeight="1"/>
    <row r="969" ht="49.5" customHeight="1"/>
    <row r="970" ht="49.5" customHeight="1"/>
    <row r="971" ht="49.5" customHeight="1"/>
    <row r="972" ht="49.5" customHeight="1"/>
    <row r="973" ht="49.5" customHeight="1"/>
    <row r="974" ht="49.5" customHeight="1"/>
    <row r="975" ht="49.5" customHeight="1"/>
    <row r="976" ht="49.5" customHeight="1"/>
    <row r="977" ht="49.5" customHeight="1"/>
    <row r="978" ht="49.5" customHeight="1"/>
    <row r="979" ht="49.5" customHeight="1"/>
    <row r="980" ht="49.5" customHeight="1"/>
    <row r="981" ht="49.5" customHeight="1"/>
    <row r="982" ht="49.5" customHeight="1"/>
    <row r="983" ht="49.5" customHeight="1"/>
    <row r="984" ht="49.5" customHeight="1"/>
    <row r="985" ht="49.5" customHeight="1"/>
    <row r="986" ht="49.5" customHeight="1"/>
    <row r="987" ht="49.5" customHeight="1"/>
    <row r="988" ht="49.5" customHeight="1"/>
    <row r="989" ht="49.5" customHeight="1"/>
    <row r="990" ht="49.5" customHeight="1"/>
    <row r="991" ht="49.5" customHeight="1"/>
    <row r="992" ht="49.5" customHeight="1"/>
  </sheetData>
  <dataValidations>
    <dataValidation type="custom" allowBlank="1" showDropDown="1" sqref="K3:P9 B2:G18 K12:P20">
      <formula1>AND(ISNUMBER(B2),(NOT(OR(NOT(ISERROR(DATEVALUE(B2))), AND(ISNUMBER(B2), LEFT(CELL("format", B2))="D")))))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13.25"/>
    <col customWidth="1" min="4" max="4" width="16.88"/>
    <col customWidth="1" min="6" max="6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49.5" customHeight="1">
      <c r="A2" s="3" t="s">
        <v>9</v>
      </c>
      <c r="B2" s="4">
        <v>501.0</v>
      </c>
      <c r="C2" s="4">
        <f t="shared" ref="C2:C25" si="1">B2-(SUM(D2+F2))</f>
        <v>455</v>
      </c>
      <c r="D2" s="4">
        <v>34.0</v>
      </c>
      <c r="E2" s="4">
        <f t="shared" ref="E2:E25" si="2">D2-(SUM(B2,F2))</f>
        <v>-479</v>
      </c>
      <c r="F2" s="4">
        <v>12.0</v>
      </c>
      <c r="G2" s="4">
        <f t="shared" ref="G2:G25" si="3">F2-(SUM(D2+B2))</f>
        <v>-523</v>
      </c>
      <c r="H2" s="5" t="str">
        <f t="shared" ref="H2:H25" si="4">INDEX({$B$1,$D$1,$F$1},MATCH(MAX(B2,D2,F2),{B2,D2,F2},0))</f>
        <v>Agree</v>
      </c>
      <c r="I2" s="6">
        <f t="shared" ref="I2:I25" si="5">MAX(B2,D2,F2)</f>
        <v>501</v>
      </c>
    </row>
    <row r="3" ht="49.5" customHeight="1">
      <c r="A3" s="3" t="s">
        <v>10</v>
      </c>
      <c r="B3" s="4">
        <v>453.0</v>
      </c>
      <c r="C3" s="4">
        <f t="shared" si="1"/>
        <v>360</v>
      </c>
      <c r="D3" s="4">
        <v>34.0</v>
      </c>
      <c r="E3" s="4">
        <f t="shared" si="2"/>
        <v>-478</v>
      </c>
      <c r="F3" s="4">
        <v>59.0</v>
      </c>
      <c r="G3" s="4">
        <f t="shared" si="3"/>
        <v>-428</v>
      </c>
      <c r="H3" s="5" t="str">
        <f t="shared" si="4"/>
        <v>Agree</v>
      </c>
      <c r="I3" s="6">
        <f t="shared" si="5"/>
        <v>453</v>
      </c>
    </row>
    <row r="4" ht="49.5" customHeight="1">
      <c r="A4" s="3" t="s">
        <v>11</v>
      </c>
      <c r="B4" s="4">
        <v>423.0</v>
      </c>
      <c r="C4" s="4">
        <f t="shared" si="1"/>
        <v>301</v>
      </c>
      <c r="D4" s="4">
        <v>33.0</v>
      </c>
      <c r="E4" s="4">
        <f t="shared" si="2"/>
        <v>-479</v>
      </c>
      <c r="F4" s="4">
        <v>89.0</v>
      </c>
      <c r="G4" s="4">
        <f t="shared" si="3"/>
        <v>-367</v>
      </c>
      <c r="H4" s="5" t="str">
        <f t="shared" si="4"/>
        <v>Agree</v>
      </c>
      <c r="I4" s="6">
        <f t="shared" si="5"/>
        <v>423</v>
      </c>
    </row>
    <row r="5" ht="49.5" customHeight="1">
      <c r="A5" s="3" t="s">
        <v>12</v>
      </c>
      <c r="B5" s="4">
        <v>418.0</v>
      </c>
      <c r="C5" s="4">
        <f t="shared" si="1"/>
        <v>289</v>
      </c>
      <c r="D5" s="4">
        <v>62.0</v>
      </c>
      <c r="E5" s="4">
        <f t="shared" si="2"/>
        <v>-423</v>
      </c>
      <c r="F5" s="4">
        <v>67.0</v>
      </c>
      <c r="G5" s="4">
        <f t="shared" si="3"/>
        <v>-413</v>
      </c>
      <c r="H5" s="5" t="str">
        <f t="shared" si="4"/>
        <v>Agree</v>
      </c>
      <c r="I5" s="6">
        <f t="shared" si="5"/>
        <v>418</v>
      </c>
    </row>
    <row r="6" ht="49.5" customHeight="1">
      <c r="A6" s="3" t="s">
        <v>13</v>
      </c>
      <c r="B6" s="4">
        <v>407.0</v>
      </c>
      <c r="C6" s="4">
        <f t="shared" si="1"/>
        <v>268</v>
      </c>
      <c r="D6" s="4">
        <v>46.0</v>
      </c>
      <c r="E6" s="4">
        <f t="shared" si="2"/>
        <v>-454</v>
      </c>
      <c r="F6" s="4">
        <v>93.0</v>
      </c>
      <c r="G6" s="4">
        <f t="shared" si="3"/>
        <v>-360</v>
      </c>
      <c r="H6" s="5" t="str">
        <f t="shared" si="4"/>
        <v>Agree</v>
      </c>
      <c r="I6" s="6">
        <f t="shared" si="5"/>
        <v>407</v>
      </c>
    </row>
    <row r="7" ht="49.5" customHeight="1">
      <c r="A7" s="3" t="s">
        <v>14</v>
      </c>
      <c r="B7" s="4">
        <v>92.0</v>
      </c>
      <c r="C7" s="4">
        <f t="shared" si="1"/>
        <v>-352</v>
      </c>
      <c r="D7" s="4">
        <v>46.0</v>
      </c>
      <c r="E7" s="4">
        <f t="shared" si="2"/>
        <v>-444</v>
      </c>
      <c r="F7" s="4">
        <v>398.0</v>
      </c>
      <c r="G7" s="4">
        <f t="shared" si="3"/>
        <v>260</v>
      </c>
      <c r="H7" s="5" t="str">
        <f t="shared" si="4"/>
        <v>Disagree</v>
      </c>
      <c r="I7" s="6">
        <f t="shared" si="5"/>
        <v>398</v>
      </c>
    </row>
    <row r="8" ht="49.5" customHeight="1">
      <c r="A8" s="3" t="s">
        <v>18</v>
      </c>
      <c r="B8" s="4">
        <v>385.0</v>
      </c>
      <c r="C8" s="4">
        <f t="shared" si="1"/>
        <v>230</v>
      </c>
      <c r="D8" s="4">
        <v>58.0</v>
      </c>
      <c r="E8" s="4">
        <f t="shared" si="2"/>
        <v>-424</v>
      </c>
      <c r="F8" s="4">
        <v>97.0</v>
      </c>
      <c r="G8" s="4">
        <f t="shared" si="3"/>
        <v>-346</v>
      </c>
      <c r="H8" s="5" t="str">
        <f t="shared" si="4"/>
        <v>Agree</v>
      </c>
      <c r="I8" s="6">
        <f t="shared" si="5"/>
        <v>385</v>
      </c>
    </row>
    <row r="9" ht="49.5" customHeight="1">
      <c r="A9" s="3" t="s">
        <v>20</v>
      </c>
      <c r="B9" s="4">
        <v>384.0</v>
      </c>
      <c r="C9" s="4">
        <f t="shared" si="1"/>
        <v>225</v>
      </c>
      <c r="D9" s="4">
        <v>67.0</v>
      </c>
      <c r="E9" s="4">
        <f t="shared" si="2"/>
        <v>-409</v>
      </c>
      <c r="F9" s="4">
        <v>92.0</v>
      </c>
      <c r="G9" s="4">
        <f t="shared" si="3"/>
        <v>-359</v>
      </c>
      <c r="H9" s="5" t="str">
        <f t="shared" si="4"/>
        <v>Agree</v>
      </c>
      <c r="I9" s="6">
        <f t="shared" si="5"/>
        <v>384</v>
      </c>
    </row>
    <row r="10" ht="49.5" customHeight="1">
      <c r="A10" s="3" t="s">
        <v>21</v>
      </c>
      <c r="B10" s="4">
        <v>377.0</v>
      </c>
      <c r="C10" s="4">
        <f t="shared" si="1"/>
        <v>208</v>
      </c>
      <c r="D10" s="4">
        <v>109.0</v>
      </c>
      <c r="E10" s="4">
        <f t="shared" si="2"/>
        <v>-328</v>
      </c>
      <c r="F10" s="4">
        <v>60.0</v>
      </c>
      <c r="G10" s="4">
        <f t="shared" si="3"/>
        <v>-426</v>
      </c>
      <c r="H10" s="5" t="str">
        <f t="shared" si="4"/>
        <v>Agree</v>
      </c>
      <c r="I10" s="6">
        <f t="shared" si="5"/>
        <v>377</v>
      </c>
    </row>
    <row r="11" ht="49.5" customHeight="1">
      <c r="A11" s="3" t="s">
        <v>26</v>
      </c>
      <c r="B11" s="4">
        <v>377.0</v>
      </c>
      <c r="C11" s="4">
        <f t="shared" si="1"/>
        <v>209</v>
      </c>
      <c r="D11" s="4">
        <v>61.0</v>
      </c>
      <c r="E11" s="4">
        <f t="shared" si="2"/>
        <v>-423</v>
      </c>
      <c r="F11" s="4">
        <v>107.0</v>
      </c>
      <c r="G11" s="4">
        <f t="shared" si="3"/>
        <v>-331</v>
      </c>
      <c r="H11" s="5" t="str">
        <f t="shared" si="4"/>
        <v>Agree</v>
      </c>
      <c r="I11" s="6">
        <f t="shared" si="5"/>
        <v>377</v>
      </c>
    </row>
    <row r="12" ht="49.5" customHeight="1">
      <c r="A12" s="3" t="s">
        <v>31</v>
      </c>
      <c r="B12" s="4">
        <v>124.0</v>
      </c>
      <c r="C12" s="4">
        <f t="shared" si="1"/>
        <v>-295</v>
      </c>
      <c r="D12" s="4">
        <v>61.0</v>
      </c>
      <c r="E12" s="4">
        <f t="shared" si="2"/>
        <v>-421</v>
      </c>
      <c r="F12" s="4">
        <v>358.0</v>
      </c>
      <c r="G12" s="4">
        <f t="shared" si="3"/>
        <v>173</v>
      </c>
      <c r="H12" s="5" t="str">
        <f t="shared" si="4"/>
        <v>Disagree</v>
      </c>
      <c r="I12" s="6">
        <f t="shared" si="5"/>
        <v>358</v>
      </c>
    </row>
    <row r="13" ht="49.5" customHeight="1">
      <c r="A13" s="3" t="s">
        <v>32</v>
      </c>
      <c r="B13" s="4">
        <v>153.0</v>
      </c>
      <c r="C13" s="4">
        <f t="shared" si="1"/>
        <v>-238</v>
      </c>
      <c r="D13" s="4">
        <v>42.0</v>
      </c>
      <c r="E13" s="4">
        <f t="shared" si="2"/>
        <v>-460</v>
      </c>
      <c r="F13" s="4">
        <v>349.0</v>
      </c>
      <c r="G13" s="4">
        <f t="shared" si="3"/>
        <v>154</v>
      </c>
      <c r="H13" s="5" t="str">
        <f t="shared" si="4"/>
        <v>Disagree</v>
      </c>
      <c r="I13" s="6">
        <f t="shared" si="5"/>
        <v>349</v>
      </c>
    </row>
    <row r="14" ht="49.5" customHeight="1">
      <c r="A14" s="3" t="s">
        <v>38</v>
      </c>
      <c r="B14" s="4">
        <v>315.0</v>
      </c>
      <c r="C14" s="4">
        <f t="shared" si="1"/>
        <v>83</v>
      </c>
      <c r="D14" s="4">
        <v>80.0</v>
      </c>
      <c r="E14" s="4">
        <f t="shared" si="2"/>
        <v>-387</v>
      </c>
      <c r="F14" s="4">
        <v>152.0</v>
      </c>
      <c r="G14" s="4">
        <f t="shared" si="3"/>
        <v>-243</v>
      </c>
      <c r="H14" s="5" t="str">
        <f t="shared" si="4"/>
        <v>Agree</v>
      </c>
      <c r="I14" s="6">
        <f t="shared" si="5"/>
        <v>315</v>
      </c>
    </row>
    <row r="15" ht="49.5" customHeight="1">
      <c r="A15" s="3" t="s">
        <v>37</v>
      </c>
      <c r="B15" s="4">
        <v>189.0</v>
      </c>
      <c r="C15" s="4">
        <f t="shared" si="1"/>
        <v>-166</v>
      </c>
      <c r="D15" s="4">
        <v>48.0</v>
      </c>
      <c r="E15" s="4">
        <f t="shared" si="2"/>
        <v>-448</v>
      </c>
      <c r="F15" s="4">
        <v>307.0</v>
      </c>
      <c r="G15" s="4">
        <f t="shared" si="3"/>
        <v>70</v>
      </c>
      <c r="H15" s="5" t="str">
        <f t="shared" si="4"/>
        <v>Disagree</v>
      </c>
      <c r="I15" s="6">
        <f t="shared" si="5"/>
        <v>307</v>
      </c>
    </row>
    <row r="16" ht="49.5" customHeight="1">
      <c r="A16" s="3" t="s">
        <v>36</v>
      </c>
      <c r="B16" s="4">
        <v>150.0</v>
      </c>
      <c r="C16" s="4">
        <f t="shared" si="1"/>
        <v>-247</v>
      </c>
      <c r="D16" s="4">
        <v>100.0</v>
      </c>
      <c r="E16" s="4">
        <f t="shared" si="2"/>
        <v>-347</v>
      </c>
      <c r="F16" s="4">
        <v>297.0</v>
      </c>
      <c r="G16" s="4">
        <f t="shared" si="3"/>
        <v>47</v>
      </c>
      <c r="H16" s="5" t="str">
        <f t="shared" si="4"/>
        <v>Disagree</v>
      </c>
      <c r="I16" s="6">
        <f t="shared" si="5"/>
        <v>297</v>
      </c>
    </row>
    <row r="17" ht="49.5" customHeight="1">
      <c r="A17" s="3" t="s">
        <v>45</v>
      </c>
      <c r="B17" s="4">
        <v>286.0</v>
      </c>
      <c r="C17" s="4">
        <f t="shared" si="1"/>
        <v>27</v>
      </c>
      <c r="D17" s="4">
        <v>86.0</v>
      </c>
      <c r="E17" s="4">
        <f t="shared" si="2"/>
        <v>-373</v>
      </c>
      <c r="F17" s="4">
        <v>173.0</v>
      </c>
      <c r="G17" s="4">
        <f t="shared" si="3"/>
        <v>-199</v>
      </c>
      <c r="H17" s="5" t="str">
        <f t="shared" si="4"/>
        <v>Agree</v>
      </c>
      <c r="I17" s="6">
        <f t="shared" si="5"/>
        <v>286</v>
      </c>
    </row>
    <row r="18" ht="49.5" customHeight="1">
      <c r="A18" s="3" t="s">
        <v>46</v>
      </c>
      <c r="B18" s="4">
        <v>267.0</v>
      </c>
      <c r="C18" s="4">
        <f t="shared" si="1"/>
        <v>-12</v>
      </c>
      <c r="D18" s="4">
        <v>62.0</v>
      </c>
      <c r="E18" s="4">
        <f t="shared" si="2"/>
        <v>-422</v>
      </c>
      <c r="F18" s="4">
        <v>217.0</v>
      </c>
      <c r="G18" s="4">
        <f t="shared" si="3"/>
        <v>-112</v>
      </c>
      <c r="H18" s="5" t="str">
        <f t="shared" si="4"/>
        <v>Agree</v>
      </c>
      <c r="I18" s="6">
        <f t="shared" si="5"/>
        <v>267</v>
      </c>
    </row>
    <row r="19" ht="49.5" customHeight="1">
      <c r="A19" s="3" t="s">
        <v>24</v>
      </c>
      <c r="B19" s="4">
        <v>221.0</v>
      </c>
      <c r="C19" s="4">
        <f t="shared" si="1"/>
        <v>-103</v>
      </c>
      <c r="D19" s="4">
        <v>68.0</v>
      </c>
      <c r="E19" s="4">
        <f t="shared" si="2"/>
        <v>-409</v>
      </c>
      <c r="F19" s="4">
        <v>256.0</v>
      </c>
      <c r="G19" s="4">
        <f t="shared" si="3"/>
        <v>-33</v>
      </c>
      <c r="H19" s="5" t="str">
        <f t="shared" si="4"/>
        <v>Disagree</v>
      </c>
      <c r="I19" s="6">
        <f t="shared" si="5"/>
        <v>256</v>
      </c>
    </row>
    <row r="20" ht="49.5" customHeight="1">
      <c r="A20" s="3" t="s">
        <v>49</v>
      </c>
      <c r="B20" s="4">
        <v>248.0</v>
      </c>
      <c r="C20" s="4">
        <f t="shared" si="1"/>
        <v>-48</v>
      </c>
      <c r="D20" s="4">
        <v>62.0</v>
      </c>
      <c r="E20" s="4">
        <f t="shared" si="2"/>
        <v>-420</v>
      </c>
      <c r="F20" s="4">
        <v>234.0</v>
      </c>
      <c r="G20" s="4">
        <f t="shared" si="3"/>
        <v>-76</v>
      </c>
      <c r="H20" s="5" t="str">
        <f t="shared" si="4"/>
        <v>Agree</v>
      </c>
      <c r="I20" s="6">
        <f t="shared" si="5"/>
        <v>248</v>
      </c>
    </row>
    <row r="21" ht="49.5" customHeight="1">
      <c r="A21" s="3" t="s">
        <v>50</v>
      </c>
      <c r="B21" s="4">
        <v>182.0</v>
      </c>
      <c r="C21" s="4">
        <f t="shared" si="1"/>
        <v>-180</v>
      </c>
      <c r="D21" s="4">
        <v>115.0</v>
      </c>
      <c r="E21" s="4">
        <f t="shared" si="2"/>
        <v>-314</v>
      </c>
      <c r="F21" s="4">
        <v>247.0</v>
      </c>
      <c r="G21" s="4">
        <f t="shared" si="3"/>
        <v>-50</v>
      </c>
      <c r="H21" s="5" t="str">
        <f t="shared" si="4"/>
        <v>Disagree</v>
      </c>
      <c r="I21" s="6">
        <f t="shared" si="5"/>
        <v>247</v>
      </c>
    </row>
    <row r="22" ht="49.5" customHeight="1">
      <c r="A22" s="3" t="s">
        <v>51</v>
      </c>
      <c r="B22" s="4">
        <v>210.0</v>
      </c>
      <c r="C22" s="4">
        <f t="shared" si="1"/>
        <v>-125</v>
      </c>
      <c r="D22" s="4">
        <v>157.0</v>
      </c>
      <c r="E22" s="4">
        <f t="shared" si="2"/>
        <v>-231</v>
      </c>
      <c r="F22" s="4">
        <v>178.0</v>
      </c>
      <c r="G22" s="4">
        <f t="shared" si="3"/>
        <v>-189</v>
      </c>
      <c r="H22" s="5" t="str">
        <f t="shared" si="4"/>
        <v>Agree</v>
      </c>
      <c r="I22" s="6">
        <f t="shared" si="5"/>
        <v>210</v>
      </c>
    </row>
    <row r="23" ht="49.5" customHeight="1">
      <c r="A23" s="3" t="s">
        <v>52</v>
      </c>
      <c r="B23" s="4">
        <v>203.0</v>
      </c>
      <c r="C23" s="4">
        <f t="shared" si="1"/>
        <v>-84</v>
      </c>
      <c r="D23" s="4">
        <v>109.0</v>
      </c>
      <c r="E23" s="4">
        <f t="shared" si="2"/>
        <v>-272</v>
      </c>
      <c r="F23" s="4">
        <v>178.0</v>
      </c>
      <c r="G23" s="4">
        <f t="shared" si="3"/>
        <v>-134</v>
      </c>
      <c r="H23" s="5" t="str">
        <f t="shared" si="4"/>
        <v>Agree</v>
      </c>
      <c r="I23" s="6">
        <f t="shared" si="5"/>
        <v>203</v>
      </c>
    </row>
    <row r="24" ht="49.5" customHeight="1">
      <c r="A24" s="3" t="s">
        <v>33</v>
      </c>
      <c r="B24" s="4">
        <v>197.0</v>
      </c>
      <c r="C24" s="4">
        <f t="shared" si="1"/>
        <v>-150</v>
      </c>
      <c r="D24" s="4">
        <v>197.0</v>
      </c>
      <c r="E24" s="4">
        <f t="shared" si="2"/>
        <v>-150</v>
      </c>
      <c r="F24" s="4">
        <v>150.0</v>
      </c>
      <c r="G24" s="4">
        <f t="shared" si="3"/>
        <v>-244</v>
      </c>
      <c r="H24" s="5" t="str">
        <f t="shared" si="4"/>
        <v>Agree</v>
      </c>
      <c r="I24" s="6">
        <f t="shared" si="5"/>
        <v>197</v>
      </c>
    </row>
    <row r="25" ht="49.5" customHeight="1">
      <c r="A25" s="3" t="s">
        <v>42</v>
      </c>
      <c r="B25" s="4">
        <v>182.0</v>
      </c>
      <c r="C25" s="4">
        <f t="shared" si="1"/>
        <v>-180</v>
      </c>
      <c r="D25" s="4">
        <v>185.0</v>
      </c>
      <c r="E25" s="4">
        <f t="shared" si="2"/>
        <v>-174</v>
      </c>
      <c r="F25" s="4">
        <v>177.0</v>
      </c>
      <c r="G25" s="4">
        <f t="shared" si="3"/>
        <v>-190</v>
      </c>
      <c r="H25" s="5" t="str">
        <f t="shared" si="4"/>
        <v>No opinion</v>
      </c>
      <c r="I25" s="6">
        <f t="shared" si="5"/>
        <v>185</v>
      </c>
    </row>
    <row r="26" ht="49.5" customHeight="1"/>
    <row r="27" ht="49.5" customHeight="1"/>
    <row r="28" ht="49.5" customHeight="1"/>
    <row r="29" ht="49.5" customHeight="1"/>
    <row r="30" ht="49.5" customHeight="1"/>
    <row r="31" ht="49.5" customHeight="1"/>
    <row r="32" ht="49.5" customHeight="1"/>
    <row r="33" ht="49.5" customHeight="1"/>
    <row r="34" ht="49.5" customHeight="1"/>
    <row r="35" ht="49.5" customHeight="1"/>
    <row r="36" ht="49.5" customHeight="1"/>
    <row r="37" ht="49.5" customHeight="1"/>
    <row r="38" ht="49.5" customHeight="1"/>
    <row r="39" ht="49.5" customHeight="1"/>
    <row r="40" ht="49.5" customHeight="1"/>
    <row r="41" ht="49.5" customHeight="1"/>
    <row r="42" ht="49.5" customHeight="1"/>
    <row r="43" ht="49.5" customHeight="1"/>
    <row r="44" ht="49.5" customHeight="1"/>
    <row r="45" ht="49.5" customHeight="1"/>
    <row r="46" ht="49.5" customHeight="1"/>
    <row r="47" ht="49.5" customHeight="1"/>
    <row r="48" ht="49.5" customHeight="1"/>
    <row r="49" ht="49.5" customHeight="1"/>
    <row r="50" ht="49.5" customHeight="1"/>
    <row r="51" ht="49.5" customHeight="1"/>
    <row r="52" ht="49.5" customHeight="1"/>
    <row r="53" ht="49.5" customHeight="1"/>
    <row r="54" ht="49.5" customHeight="1"/>
    <row r="55" ht="49.5" customHeight="1"/>
    <row r="56" ht="49.5" customHeight="1"/>
    <row r="57" ht="49.5" customHeight="1"/>
    <row r="58" ht="49.5" customHeight="1"/>
    <row r="59" ht="49.5" customHeight="1"/>
    <row r="60" ht="49.5" customHeight="1"/>
    <row r="61" ht="49.5" customHeight="1"/>
    <row r="62" ht="49.5" customHeight="1"/>
    <row r="63" ht="49.5" customHeight="1"/>
    <row r="64" ht="49.5" customHeight="1"/>
    <row r="65" ht="49.5" customHeight="1"/>
    <row r="66" ht="49.5" customHeight="1"/>
    <row r="67" ht="49.5" customHeight="1"/>
    <row r="68" ht="49.5" customHeight="1"/>
    <row r="69" ht="49.5" customHeight="1"/>
    <row r="70" ht="49.5" customHeight="1"/>
    <row r="71" ht="49.5" customHeight="1"/>
    <row r="72" ht="49.5" customHeight="1"/>
    <row r="73" ht="49.5" customHeight="1"/>
    <row r="74" ht="49.5" customHeight="1"/>
    <row r="75" ht="49.5" customHeight="1"/>
    <row r="76" ht="49.5" customHeight="1"/>
    <row r="77" ht="49.5" customHeight="1"/>
    <row r="78" ht="49.5" customHeight="1"/>
    <row r="79" ht="49.5" customHeight="1"/>
    <row r="80" ht="49.5" customHeight="1"/>
    <row r="81" ht="49.5" customHeight="1"/>
    <row r="82" ht="49.5" customHeight="1"/>
    <row r="83" ht="49.5" customHeight="1"/>
    <row r="84" ht="49.5" customHeight="1"/>
    <row r="85" ht="49.5" customHeight="1"/>
    <row r="86" ht="49.5" customHeight="1"/>
    <row r="87" ht="49.5" customHeight="1"/>
    <row r="88" ht="49.5" customHeight="1"/>
    <row r="89" ht="49.5" customHeight="1"/>
    <row r="90" ht="49.5" customHeight="1"/>
    <row r="91" ht="49.5" customHeight="1"/>
    <row r="92" ht="49.5" customHeight="1"/>
    <row r="93" ht="49.5" customHeight="1"/>
    <row r="94" ht="49.5" customHeight="1"/>
    <row r="95" ht="49.5" customHeight="1"/>
    <row r="96" ht="49.5" customHeight="1"/>
    <row r="97" ht="49.5" customHeight="1"/>
    <row r="98" ht="49.5" customHeight="1"/>
    <row r="99" ht="49.5" customHeight="1"/>
    <row r="100" ht="49.5" customHeight="1"/>
    <row r="101" ht="49.5" customHeight="1"/>
    <row r="102" ht="49.5" customHeight="1"/>
    <row r="103" ht="49.5" customHeight="1"/>
    <row r="104" ht="49.5" customHeight="1"/>
    <row r="105" ht="49.5" customHeight="1"/>
    <row r="106" ht="49.5" customHeight="1"/>
    <row r="107" ht="49.5" customHeight="1"/>
    <row r="108" ht="49.5" customHeight="1"/>
    <row r="109" ht="49.5" customHeight="1"/>
    <row r="110" ht="49.5" customHeight="1"/>
    <row r="111" ht="49.5" customHeight="1"/>
    <row r="112" ht="49.5" customHeight="1"/>
    <row r="113" ht="49.5" customHeight="1"/>
    <row r="114" ht="49.5" customHeight="1"/>
    <row r="115" ht="49.5" customHeight="1"/>
    <row r="116" ht="49.5" customHeight="1"/>
    <row r="117" ht="49.5" customHeight="1"/>
    <row r="118" ht="49.5" customHeight="1"/>
    <row r="119" ht="49.5" customHeight="1"/>
    <row r="120" ht="49.5" customHeight="1"/>
    <row r="121" ht="49.5" customHeight="1"/>
    <row r="122" ht="49.5" customHeight="1"/>
    <row r="123" ht="49.5" customHeight="1"/>
    <row r="124" ht="49.5" customHeight="1"/>
    <row r="125" ht="49.5" customHeight="1"/>
    <row r="126" ht="49.5" customHeight="1"/>
    <row r="127" ht="49.5" customHeight="1"/>
    <row r="128" ht="49.5" customHeight="1"/>
    <row r="129" ht="49.5" customHeight="1"/>
    <row r="130" ht="49.5" customHeight="1"/>
    <row r="131" ht="49.5" customHeight="1"/>
    <row r="132" ht="49.5" customHeight="1"/>
    <row r="133" ht="49.5" customHeight="1"/>
    <row r="134" ht="49.5" customHeight="1"/>
    <row r="135" ht="49.5" customHeight="1"/>
    <row r="136" ht="49.5" customHeight="1"/>
    <row r="137" ht="49.5" customHeight="1"/>
    <row r="138" ht="49.5" customHeight="1"/>
    <row r="139" ht="49.5" customHeight="1"/>
    <row r="140" ht="49.5" customHeight="1"/>
    <row r="141" ht="49.5" customHeight="1"/>
    <row r="142" ht="49.5" customHeight="1"/>
    <row r="143" ht="49.5" customHeight="1"/>
    <row r="144" ht="49.5" customHeight="1"/>
    <row r="145" ht="49.5" customHeight="1"/>
    <row r="146" ht="49.5" customHeight="1"/>
    <row r="147" ht="49.5" customHeight="1"/>
    <row r="148" ht="49.5" customHeight="1"/>
    <row r="149" ht="49.5" customHeight="1"/>
    <row r="150" ht="49.5" customHeight="1"/>
    <row r="151" ht="49.5" customHeight="1"/>
    <row r="152" ht="49.5" customHeight="1"/>
    <row r="153" ht="49.5" customHeight="1"/>
    <row r="154" ht="49.5" customHeight="1"/>
    <row r="155" ht="49.5" customHeight="1"/>
    <row r="156" ht="49.5" customHeight="1"/>
    <row r="157" ht="49.5" customHeight="1"/>
    <row r="158" ht="49.5" customHeight="1"/>
    <row r="159" ht="49.5" customHeight="1"/>
    <row r="160" ht="49.5" customHeight="1"/>
    <row r="161" ht="49.5" customHeight="1"/>
    <row r="162" ht="49.5" customHeight="1"/>
    <row r="163" ht="49.5" customHeight="1"/>
    <row r="164" ht="49.5" customHeight="1"/>
    <row r="165" ht="49.5" customHeight="1"/>
    <row r="166" ht="49.5" customHeight="1"/>
    <row r="167" ht="49.5" customHeight="1"/>
    <row r="168" ht="49.5" customHeight="1"/>
    <row r="169" ht="49.5" customHeight="1"/>
    <row r="170" ht="49.5" customHeight="1"/>
    <row r="171" ht="49.5" customHeight="1"/>
    <row r="172" ht="49.5" customHeight="1"/>
    <row r="173" ht="49.5" customHeight="1"/>
    <row r="174" ht="49.5" customHeight="1"/>
    <row r="175" ht="49.5" customHeight="1"/>
    <row r="176" ht="49.5" customHeight="1"/>
    <row r="177" ht="49.5" customHeight="1"/>
    <row r="178" ht="49.5" customHeight="1"/>
    <row r="179" ht="49.5" customHeight="1"/>
    <row r="180" ht="49.5" customHeight="1"/>
    <row r="181" ht="49.5" customHeight="1"/>
    <row r="182" ht="49.5" customHeight="1"/>
    <row r="183" ht="49.5" customHeight="1"/>
    <row r="184" ht="49.5" customHeight="1"/>
    <row r="185" ht="49.5" customHeight="1"/>
    <row r="186" ht="49.5" customHeight="1"/>
    <row r="187" ht="49.5" customHeight="1"/>
    <row r="188" ht="49.5" customHeight="1"/>
    <row r="189" ht="49.5" customHeight="1"/>
    <row r="190" ht="49.5" customHeight="1"/>
    <row r="191" ht="49.5" customHeight="1"/>
    <row r="192" ht="49.5" customHeight="1"/>
    <row r="193" ht="49.5" customHeight="1"/>
    <row r="194" ht="49.5" customHeight="1"/>
    <row r="195" ht="49.5" customHeight="1"/>
    <row r="196" ht="49.5" customHeight="1"/>
    <row r="197" ht="49.5" customHeight="1"/>
    <row r="198" ht="49.5" customHeight="1"/>
    <row r="199" ht="49.5" customHeight="1"/>
    <row r="200" ht="49.5" customHeight="1"/>
    <row r="201" ht="49.5" customHeight="1"/>
    <row r="202" ht="49.5" customHeight="1"/>
    <row r="203" ht="49.5" customHeight="1"/>
    <row r="204" ht="49.5" customHeight="1"/>
    <row r="205" ht="49.5" customHeight="1"/>
    <row r="206" ht="49.5" customHeight="1"/>
    <row r="207" ht="49.5" customHeight="1"/>
    <row r="208" ht="49.5" customHeight="1"/>
    <row r="209" ht="49.5" customHeight="1"/>
    <row r="210" ht="49.5" customHeight="1"/>
    <row r="211" ht="49.5" customHeight="1"/>
    <row r="212" ht="49.5" customHeight="1"/>
    <row r="213" ht="49.5" customHeight="1"/>
    <row r="214" ht="49.5" customHeight="1"/>
    <row r="215" ht="49.5" customHeight="1"/>
    <row r="216" ht="49.5" customHeight="1"/>
    <row r="217" ht="49.5" customHeight="1"/>
    <row r="218" ht="49.5" customHeight="1"/>
    <row r="219" ht="49.5" customHeight="1"/>
    <row r="220" ht="49.5" customHeight="1"/>
    <row r="221" ht="49.5" customHeight="1"/>
    <row r="222" ht="49.5" customHeight="1"/>
    <row r="223" ht="49.5" customHeight="1"/>
    <row r="224" ht="49.5" customHeight="1"/>
    <row r="225" ht="49.5" customHeight="1"/>
    <row r="226" ht="49.5" customHeight="1"/>
    <row r="227" ht="49.5" customHeight="1"/>
    <row r="228" ht="49.5" customHeight="1"/>
    <row r="229" ht="49.5" customHeight="1"/>
    <row r="230" ht="49.5" customHeight="1"/>
    <row r="231" ht="49.5" customHeight="1"/>
    <row r="232" ht="49.5" customHeight="1"/>
    <row r="233" ht="49.5" customHeight="1"/>
    <row r="234" ht="49.5" customHeight="1"/>
    <row r="235" ht="49.5" customHeight="1"/>
    <row r="236" ht="49.5" customHeight="1"/>
    <row r="237" ht="49.5" customHeight="1"/>
    <row r="238" ht="49.5" customHeight="1"/>
    <row r="239" ht="49.5" customHeight="1"/>
    <row r="240" ht="49.5" customHeight="1"/>
    <row r="241" ht="49.5" customHeight="1"/>
    <row r="242" ht="49.5" customHeight="1"/>
    <row r="243" ht="49.5" customHeight="1"/>
    <row r="244" ht="49.5" customHeight="1"/>
    <row r="245" ht="49.5" customHeight="1"/>
    <row r="246" ht="49.5" customHeight="1"/>
    <row r="247" ht="49.5" customHeight="1"/>
    <row r="248" ht="49.5" customHeight="1"/>
    <row r="249" ht="49.5" customHeight="1"/>
    <row r="250" ht="49.5" customHeight="1"/>
    <row r="251" ht="49.5" customHeight="1"/>
    <row r="252" ht="49.5" customHeight="1"/>
    <row r="253" ht="49.5" customHeight="1"/>
    <row r="254" ht="49.5" customHeight="1"/>
    <row r="255" ht="49.5" customHeight="1"/>
    <row r="256" ht="49.5" customHeight="1"/>
    <row r="257" ht="49.5" customHeight="1"/>
    <row r="258" ht="49.5" customHeight="1"/>
    <row r="259" ht="49.5" customHeight="1"/>
    <row r="260" ht="49.5" customHeight="1"/>
    <row r="261" ht="49.5" customHeight="1"/>
    <row r="262" ht="49.5" customHeight="1"/>
    <row r="263" ht="49.5" customHeight="1"/>
    <row r="264" ht="49.5" customHeight="1"/>
    <row r="265" ht="49.5" customHeight="1"/>
    <row r="266" ht="49.5" customHeight="1"/>
    <row r="267" ht="49.5" customHeight="1"/>
    <row r="268" ht="49.5" customHeight="1"/>
    <row r="269" ht="49.5" customHeight="1"/>
    <row r="270" ht="49.5" customHeight="1"/>
    <row r="271" ht="49.5" customHeight="1"/>
    <row r="272" ht="49.5" customHeight="1"/>
    <row r="273" ht="49.5" customHeight="1"/>
    <row r="274" ht="49.5" customHeight="1"/>
    <row r="275" ht="49.5" customHeight="1"/>
    <row r="276" ht="49.5" customHeight="1"/>
    <row r="277" ht="49.5" customHeight="1"/>
    <row r="278" ht="49.5" customHeight="1"/>
    <row r="279" ht="49.5" customHeight="1"/>
    <row r="280" ht="49.5" customHeight="1"/>
    <row r="281" ht="49.5" customHeight="1"/>
    <row r="282" ht="49.5" customHeight="1"/>
    <row r="283" ht="49.5" customHeight="1"/>
    <row r="284" ht="49.5" customHeight="1"/>
    <row r="285" ht="49.5" customHeight="1"/>
    <row r="286" ht="49.5" customHeight="1"/>
    <row r="287" ht="49.5" customHeight="1"/>
    <row r="288" ht="49.5" customHeight="1"/>
    <row r="289" ht="49.5" customHeight="1"/>
    <row r="290" ht="49.5" customHeight="1"/>
    <row r="291" ht="49.5" customHeight="1"/>
    <row r="292" ht="49.5" customHeight="1"/>
    <row r="293" ht="49.5" customHeight="1"/>
    <row r="294" ht="49.5" customHeight="1"/>
    <row r="295" ht="49.5" customHeight="1"/>
    <row r="296" ht="49.5" customHeight="1"/>
    <row r="297" ht="49.5" customHeight="1"/>
    <row r="298" ht="49.5" customHeight="1"/>
    <row r="299" ht="49.5" customHeight="1"/>
    <row r="300" ht="49.5" customHeight="1"/>
    <row r="301" ht="49.5" customHeight="1"/>
    <row r="302" ht="49.5" customHeight="1"/>
    <row r="303" ht="49.5" customHeight="1"/>
    <row r="304" ht="49.5" customHeight="1"/>
    <row r="305" ht="49.5" customHeight="1"/>
    <row r="306" ht="49.5" customHeight="1"/>
    <row r="307" ht="49.5" customHeight="1"/>
    <row r="308" ht="49.5" customHeight="1"/>
    <row r="309" ht="49.5" customHeight="1"/>
    <row r="310" ht="49.5" customHeight="1"/>
    <row r="311" ht="49.5" customHeight="1"/>
    <row r="312" ht="49.5" customHeight="1"/>
    <row r="313" ht="49.5" customHeight="1"/>
    <row r="314" ht="49.5" customHeight="1"/>
    <row r="315" ht="49.5" customHeight="1"/>
    <row r="316" ht="49.5" customHeight="1"/>
    <row r="317" ht="49.5" customHeight="1"/>
    <row r="318" ht="49.5" customHeight="1"/>
    <row r="319" ht="49.5" customHeight="1"/>
    <row r="320" ht="49.5" customHeight="1"/>
    <row r="321" ht="49.5" customHeight="1"/>
    <row r="322" ht="49.5" customHeight="1"/>
    <row r="323" ht="49.5" customHeight="1"/>
    <row r="324" ht="49.5" customHeight="1"/>
    <row r="325" ht="49.5" customHeight="1"/>
    <row r="326" ht="49.5" customHeight="1"/>
    <row r="327" ht="49.5" customHeight="1"/>
    <row r="328" ht="49.5" customHeight="1"/>
    <row r="329" ht="49.5" customHeight="1"/>
    <row r="330" ht="49.5" customHeight="1"/>
    <row r="331" ht="49.5" customHeight="1"/>
    <row r="332" ht="49.5" customHeight="1"/>
    <row r="333" ht="49.5" customHeight="1"/>
    <row r="334" ht="49.5" customHeight="1"/>
    <row r="335" ht="49.5" customHeight="1"/>
    <row r="336" ht="49.5" customHeight="1"/>
    <row r="337" ht="49.5" customHeight="1"/>
    <row r="338" ht="49.5" customHeight="1"/>
    <row r="339" ht="49.5" customHeight="1"/>
    <row r="340" ht="49.5" customHeight="1"/>
    <row r="341" ht="49.5" customHeight="1"/>
    <row r="342" ht="49.5" customHeight="1"/>
    <row r="343" ht="49.5" customHeight="1"/>
    <row r="344" ht="49.5" customHeight="1"/>
    <row r="345" ht="49.5" customHeight="1"/>
    <row r="346" ht="49.5" customHeight="1"/>
    <row r="347" ht="49.5" customHeight="1"/>
    <row r="348" ht="49.5" customHeight="1"/>
    <row r="349" ht="49.5" customHeight="1"/>
    <row r="350" ht="49.5" customHeight="1"/>
    <row r="351" ht="49.5" customHeight="1"/>
    <row r="352" ht="49.5" customHeight="1"/>
    <row r="353" ht="49.5" customHeight="1"/>
    <row r="354" ht="49.5" customHeight="1"/>
    <row r="355" ht="49.5" customHeight="1"/>
    <row r="356" ht="49.5" customHeight="1"/>
    <row r="357" ht="49.5" customHeight="1"/>
    <row r="358" ht="49.5" customHeight="1"/>
    <row r="359" ht="49.5" customHeight="1"/>
    <row r="360" ht="49.5" customHeight="1"/>
    <row r="361" ht="49.5" customHeight="1"/>
    <row r="362" ht="49.5" customHeight="1"/>
    <row r="363" ht="49.5" customHeight="1"/>
    <row r="364" ht="49.5" customHeight="1"/>
    <row r="365" ht="49.5" customHeight="1"/>
    <row r="366" ht="49.5" customHeight="1"/>
    <row r="367" ht="49.5" customHeight="1"/>
    <row r="368" ht="49.5" customHeight="1"/>
    <row r="369" ht="49.5" customHeight="1"/>
    <row r="370" ht="49.5" customHeight="1"/>
    <row r="371" ht="49.5" customHeight="1"/>
    <row r="372" ht="49.5" customHeight="1"/>
    <row r="373" ht="49.5" customHeight="1"/>
    <row r="374" ht="49.5" customHeight="1"/>
    <row r="375" ht="49.5" customHeight="1"/>
    <row r="376" ht="49.5" customHeight="1"/>
    <row r="377" ht="49.5" customHeight="1"/>
    <row r="378" ht="49.5" customHeight="1"/>
    <row r="379" ht="49.5" customHeight="1"/>
    <row r="380" ht="49.5" customHeight="1"/>
    <row r="381" ht="49.5" customHeight="1"/>
    <row r="382" ht="49.5" customHeight="1"/>
    <row r="383" ht="49.5" customHeight="1"/>
    <row r="384" ht="49.5" customHeight="1"/>
    <row r="385" ht="49.5" customHeight="1"/>
    <row r="386" ht="49.5" customHeight="1"/>
    <row r="387" ht="49.5" customHeight="1"/>
    <row r="388" ht="49.5" customHeight="1"/>
    <row r="389" ht="49.5" customHeight="1"/>
    <row r="390" ht="49.5" customHeight="1"/>
    <row r="391" ht="49.5" customHeight="1"/>
    <row r="392" ht="49.5" customHeight="1"/>
    <row r="393" ht="49.5" customHeight="1"/>
    <row r="394" ht="49.5" customHeight="1"/>
    <row r="395" ht="49.5" customHeight="1"/>
    <row r="396" ht="49.5" customHeight="1"/>
    <row r="397" ht="49.5" customHeight="1"/>
    <row r="398" ht="49.5" customHeight="1"/>
    <row r="399" ht="49.5" customHeight="1"/>
    <row r="400" ht="49.5" customHeight="1"/>
    <row r="401" ht="49.5" customHeight="1"/>
    <row r="402" ht="49.5" customHeight="1"/>
    <row r="403" ht="49.5" customHeight="1"/>
    <row r="404" ht="49.5" customHeight="1"/>
    <row r="405" ht="49.5" customHeight="1"/>
    <row r="406" ht="49.5" customHeight="1"/>
    <row r="407" ht="49.5" customHeight="1"/>
    <row r="408" ht="49.5" customHeight="1"/>
    <row r="409" ht="49.5" customHeight="1"/>
    <row r="410" ht="49.5" customHeight="1"/>
    <row r="411" ht="49.5" customHeight="1"/>
    <row r="412" ht="49.5" customHeight="1"/>
    <row r="413" ht="49.5" customHeight="1"/>
    <row r="414" ht="49.5" customHeight="1"/>
    <row r="415" ht="49.5" customHeight="1"/>
    <row r="416" ht="49.5" customHeight="1"/>
    <row r="417" ht="49.5" customHeight="1"/>
    <row r="418" ht="49.5" customHeight="1"/>
    <row r="419" ht="49.5" customHeight="1"/>
    <row r="420" ht="49.5" customHeight="1"/>
    <row r="421" ht="49.5" customHeight="1"/>
    <row r="422" ht="49.5" customHeight="1"/>
    <row r="423" ht="49.5" customHeight="1"/>
    <row r="424" ht="49.5" customHeight="1"/>
    <row r="425" ht="49.5" customHeight="1"/>
    <row r="426" ht="49.5" customHeight="1"/>
    <row r="427" ht="49.5" customHeight="1"/>
    <row r="428" ht="49.5" customHeight="1"/>
    <row r="429" ht="49.5" customHeight="1"/>
    <row r="430" ht="49.5" customHeight="1"/>
    <row r="431" ht="49.5" customHeight="1"/>
    <row r="432" ht="49.5" customHeight="1"/>
    <row r="433" ht="49.5" customHeight="1"/>
    <row r="434" ht="49.5" customHeight="1"/>
    <row r="435" ht="49.5" customHeight="1"/>
    <row r="436" ht="49.5" customHeight="1"/>
    <row r="437" ht="49.5" customHeight="1"/>
    <row r="438" ht="49.5" customHeight="1"/>
    <row r="439" ht="49.5" customHeight="1"/>
    <row r="440" ht="49.5" customHeight="1"/>
    <row r="441" ht="49.5" customHeight="1"/>
    <row r="442" ht="49.5" customHeight="1"/>
    <row r="443" ht="49.5" customHeight="1"/>
    <row r="444" ht="49.5" customHeight="1"/>
    <row r="445" ht="49.5" customHeight="1"/>
    <row r="446" ht="49.5" customHeight="1"/>
    <row r="447" ht="49.5" customHeight="1"/>
    <row r="448" ht="49.5" customHeight="1"/>
    <row r="449" ht="49.5" customHeight="1"/>
    <row r="450" ht="49.5" customHeight="1"/>
    <row r="451" ht="49.5" customHeight="1"/>
    <row r="452" ht="49.5" customHeight="1"/>
    <row r="453" ht="49.5" customHeight="1"/>
    <row r="454" ht="49.5" customHeight="1"/>
    <row r="455" ht="49.5" customHeight="1"/>
    <row r="456" ht="49.5" customHeight="1"/>
    <row r="457" ht="49.5" customHeight="1"/>
    <row r="458" ht="49.5" customHeight="1"/>
    <row r="459" ht="49.5" customHeight="1"/>
    <row r="460" ht="49.5" customHeight="1"/>
    <row r="461" ht="49.5" customHeight="1"/>
    <row r="462" ht="49.5" customHeight="1"/>
    <row r="463" ht="49.5" customHeight="1"/>
    <row r="464" ht="49.5" customHeight="1"/>
    <row r="465" ht="49.5" customHeight="1"/>
    <row r="466" ht="49.5" customHeight="1"/>
    <row r="467" ht="49.5" customHeight="1"/>
    <row r="468" ht="49.5" customHeight="1"/>
    <row r="469" ht="49.5" customHeight="1"/>
    <row r="470" ht="49.5" customHeight="1"/>
    <row r="471" ht="49.5" customHeight="1"/>
    <row r="472" ht="49.5" customHeight="1"/>
    <row r="473" ht="49.5" customHeight="1"/>
    <row r="474" ht="49.5" customHeight="1"/>
    <row r="475" ht="49.5" customHeight="1"/>
    <row r="476" ht="49.5" customHeight="1"/>
    <row r="477" ht="49.5" customHeight="1"/>
    <row r="478" ht="49.5" customHeight="1"/>
    <row r="479" ht="49.5" customHeight="1"/>
    <row r="480" ht="49.5" customHeight="1"/>
    <row r="481" ht="49.5" customHeight="1"/>
    <row r="482" ht="49.5" customHeight="1"/>
    <row r="483" ht="49.5" customHeight="1"/>
    <row r="484" ht="49.5" customHeight="1"/>
    <row r="485" ht="49.5" customHeight="1"/>
    <row r="486" ht="49.5" customHeight="1"/>
    <row r="487" ht="49.5" customHeight="1"/>
    <row r="488" ht="49.5" customHeight="1"/>
    <row r="489" ht="49.5" customHeight="1"/>
    <row r="490" ht="49.5" customHeight="1"/>
    <row r="491" ht="49.5" customHeight="1"/>
    <row r="492" ht="49.5" customHeight="1"/>
    <row r="493" ht="49.5" customHeight="1"/>
    <row r="494" ht="49.5" customHeight="1"/>
    <row r="495" ht="49.5" customHeight="1"/>
    <row r="496" ht="49.5" customHeight="1"/>
    <row r="497" ht="49.5" customHeight="1"/>
    <row r="498" ht="49.5" customHeight="1"/>
    <row r="499" ht="49.5" customHeight="1"/>
    <row r="500" ht="49.5" customHeight="1"/>
    <row r="501" ht="49.5" customHeight="1"/>
    <row r="502" ht="49.5" customHeight="1"/>
    <row r="503" ht="49.5" customHeight="1"/>
    <row r="504" ht="49.5" customHeight="1"/>
    <row r="505" ht="49.5" customHeight="1"/>
    <row r="506" ht="49.5" customHeight="1"/>
    <row r="507" ht="49.5" customHeight="1"/>
    <row r="508" ht="49.5" customHeight="1"/>
    <row r="509" ht="49.5" customHeight="1"/>
    <row r="510" ht="49.5" customHeight="1"/>
    <row r="511" ht="49.5" customHeight="1"/>
    <row r="512" ht="49.5" customHeight="1"/>
    <row r="513" ht="49.5" customHeight="1"/>
    <row r="514" ht="49.5" customHeight="1"/>
    <row r="515" ht="49.5" customHeight="1"/>
    <row r="516" ht="49.5" customHeight="1"/>
    <row r="517" ht="49.5" customHeight="1"/>
    <row r="518" ht="49.5" customHeight="1"/>
    <row r="519" ht="49.5" customHeight="1"/>
    <row r="520" ht="49.5" customHeight="1"/>
    <row r="521" ht="49.5" customHeight="1"/>
    <row r="522" ht="49.5" customHeight="1"/>
    <row r="523" ht="49.5" customHeight="1"/>
    <row r="524" ht="49.5" customHeight="1"/>
    <row r="525" ht="49.5" customHeight="1"/>
    <row r="526" ht="49.5" customHeight="1"/>
    <row r="527" ht="49.5" customHeight="1"/>
    <row r="528" ht="49.5" customHeight="1"/>
    <row r="529" ht="49.5" customHeight="1"/>
    <row r="530" ht="49.5" customHeight="1"/>
    <row r="531" ht="49.5" customHeight="1"/>
    <row r="532" ht="49.5" customHeight="1"/>
    <row r="533" ht="49.5" customHeight="1"/>
    <row r="534" ht="49.5" customHeight="1"/>
    <row r="535" ht="49.5" customHeight="1"/>
    <row r="536" ht="49.5" customHeight="1"/>
    <row r="537" ht="49.5" customHeight="1"/>
    <row r="538" ht="49.5" customHeight="1"/>
    <row r="539" ht="49.5" customHeight="1"/>
    <row r="540" ht="49.5" customHeight="1"/>
    <row r="541" ht="49.5" customHeight="1"/>
    <row r="542" ht="49.5" customHeight="1"/>
    <row r="543" ht="49.5" customHeight="1"/>
    <row r="544" ht="49.5" customHeight="1"/>
    <row r="545" ht="49.5" customHeight="1"/>
    <row r="546" ht="49.5" customHeight="1"/>
    <row r="547" ht="49.5" customHeight="1"/>
    <row r="548" ht="49.5" customHeight="1"/>
    <row r="549" ht="49.5" customHeight="1"/>
    <row r="550" ht="49.5" customHeight="1"/>
    <row r="551" ht="49.5" customHeight="1"/>
    <row r="552" ht="49.5" customHeight="1"/>
    <row r="553" ht="49.5" customHeight="1"/>
    <row r="554" ht="49.5" customHeight="1"/>
    <row r="555" ht="49.5" customHeight="1"/>
    <row r="556" ht="49.5" customHeight="1"/>
    <row r="557" ht="49.5" customHeight="1"/>
    <row r="558" ht="49.5" customHeight="1"/>
    <row r="559" ht="49.5" customHeight="1"/>
    <row r="560" ht="49.5" customHeight="1"/>
    <row r="561" ht="49.5" customHeight="1"/>
    <row r="562" ht="49.5" customHeight="1"/>
    <row r="563" ht="49.5" customHeight="1"/>
    <row r="564" ht="49.5" customHeight="1"/>
    <row r="565" ht="49.5" customHeight="1"/>
    <row r="566" ht="49.5" customHeight="1"/>
    <row r="567" ht="49.5" customHeight="1"/>
    <row r="568" ht="49.5" customHeight="1"/>
    <row r="569" ht="49.5" customHeight="1"/>
    <row r="570" ht="49.5" customHeight="1"/>
    <row r="571" ht="49.5" customHeight="1"/>
    <row r="572" ht="49.5" customHeight="1"/>
    <row r="573" ht="49.5" customHeight="1"/>
    <row r="574" ht="49.5" customHeight="1"/>
    <row r="575" ht="49.5" customHeight="1"/>
    <row r="576" ht="49.5" customHeight="1"/>
    <row r="577" ht="49.5" customHeight="1"/>
    <row r="578" ht="49.5" customHeight="1"/>
    <row r="579" ht="49.5" customHeight="1"/>
    <row r="580" ht="49.5" customHeight="1"/>
    <row r="581" ht="49.5" customHeight="1"/>
    <row r="582" ht="49.5" customHeight="1"/>
    <row r="583" ht="49.5" customHeight="1"/>
    <row r="584" ht="49.5" customHeight="1"/>
    <row r="585" ht="49.5" customHeight="1"/>
    <row r="586" ht="49.5" customHeight="1"/>
    <row r="587" ht="49.5" customHeight="1"/>
    <row r="588" ht="49.5" customHeight="1"/>
    <row r="589" ht="49.5" customHeight="1"/>
    <row r="590" ht="49.5" customHeight="1"/>
    <row r="591" ht="49.5" customHeight="1"/>
    <row r="592" ht="49.5" customHeight="1"/>
    <row r="593" ht="49.5" customHeight="1"/>
    <row r="594" ht="49.5" customHeight="1"/>
    <row r="595" ht="49.5" customHeight="1"/>
    <row r="596" ht="49.5" customHeight="1"/>
    <row r="597" ht="49.5" customHeight="1"/>
    <row r="598" ht="49.5" customHeight="1"/>
    <row r="599" ht="49.5" customHeight="1"/>
    <row r="600" ht="49.5" customHeight="1"/>
    <row r="601" ht="49.5" customHeight="1"/>
    <row r="602" ht="49.5" customHeight="1"/>
    <row r="603" ht="49.5" customHeight="1"/>
    <row r="604" ht="49.5" customHeight="1"/>
    <row r="605" ht="49.5" customHeight="1"/>
    <row r="606" ht="49.5" customHeight="1"/>
    <row r="607" ht="49.5" customHeight="1"/>
    <row r="608" ht="49.5" customHeight="1"/>
    <row r="609" ht="49.5" customHeight="1"/>
    <row r="610" ht="49.5" customHeight="1"/>
    <row r="611" ht="49.5" customHeight="1"/>
    <row r="612" ht="49.5" customHeight="1"/>
    <row r="613" ht="49.5" customHeight="1"/>
    <row r="614" ht="49.5" customHeight="1"/>
    <row r="615" ht="49.5" customHeight="1"/>
    <row r="616" ht="49.5" customHeight="1"/>
    <row r="617" ht="49.5" customHeight="1"/>
    <row r="618" ht="49.5" customHeight="1"/>
    <row r="619" ht="49.5" customHeight="1"/>
    <row r="620" ht="49.5" customHeight="1"/>
    <row r="621" ht="49.5" customHeight="1"/>
    <row r="622" ht="49.5" customHeight="1"/>
    <row r="623" ht="49.5" customHeight="1"/>
    <row r="624" ht="49.5" customHeight="1"/>
    <row r="625" ht="49.5" customHeight="1"/>
    <row r="626" ht="49.5" customHeight="1"/>
    <row r="627" ht="49.5" customHeight="1"/>
    <row r="628" ht="49.5" customHeight="1"/>
    <row r="629" ht="49.5" customHeight="1"/>
    <row r="630" ht="49.5" customHeight="1"/>
    <row r="631" ht="49.5" customHeight="1"/>
    <row r="632" ht="49.5" customHeight="1"/>
    <row r="633" ht="49.5" customHeight="1"/>
    <row r="634" ht="49.5" customHeight="1"/>
    <row r="635" ht="49.5" customHeight="1"/>
    <row r="636" ht="49.5" customHeight="1"/>
    <row r="637" ht="49.5" customHeight="1"/>
    <row r="638" ht="49.5" customHeight="1"/>
    <row r="639" ht="49.5" customHeight="1"/>
    <row r="640" ht="49.5" customHeight="1"/>
    <row r="641" ht="49.5" customHeight="1"/>
    <row r="642" ht="49.5" customHeight="1"/>
    <row r="643" ht="49.5" customHeight="1"/>
    <row r="644" ht="49.5" customHeight="1"/>
    <row r="645" ht="49.5" customHeight="1"/>
    <row r="646" ht="49.5" customHeight="1"/>
    <row r="647" ht="49.5" customHeight="1"/>
    <row r="648" ht="49.5" customHeight="1"/>
    <row r="649" ht="49.5" customHeight="1"/>
    <row r="650" ht="49.5" customHeight="1"/>
    <row r="651" ht="49.5" customHeight="1"/>
    <row r="652" ht="49.5" customHeight="1"/>
    <row r="653" ht="49.5" customHeight="1"/>
    <row r="654" ht="49.5" customHeight="1"/>
    <row r="655" ht="49.5" customHeight="1"/>
    <row r="656" ht="49.5" customHeight="1"/>
    <row r="657" ht="49.5" customHeight="1"/>
    <row r="658" ht="49.5" customHeight="1"/>
    <row r="659" ht="49.5" customHeight="1"/>
    <row r="660" ht="49.5" customHeight="1"/>
    <row r="661" ht="49.5" customHeight="1"/>
    <row r="662" ht="49.5" customHeight="1"/>
    <row r="663" ht="49.5" customHeight="1"/>
    <row r="664" ht="49.5" customHeight="1"/>
    <row r="665" ht="49.5" customHeight="1"/>
    <row r="666" ht="49.5" customHeight="1"/>
    <row r="667" ht="49.5" customHeight="1"/>
    <row r="668" ht="49.5" customHeight="1"/>
    <row r="669" ht="49.5" customHeight="1"/>
    <row r="670" ht="49.5" customHeight="1"/>
    <row r="671" ht="49.5" customHeight="1"/>
    <row r="672" ht="49.5" customHeight="1"/>
    <row r="673" ht="49.5" customHeight="1"/>
    <row r="674" ht="49.5" customHeight="1"/>
    <row r="675" ht="49.5" customHeight="1"/>
    <row r="676" ht="49.5" customHeight="1"/>
    <row r="677" ht="49.5" customHeight="1"/>
    <row r="678" ht="49.5" customHeight="1"/>
    <row r="679" ht="49.5" customHeight="1"/>
    <row r="680" ht="49.5" customHeight="1"/>
    <row r="681" ht="49.5" customHeight="1"/>
    <row r="682" ht="49.5" customHeight="1"/>
    <row r="683" ht="49.5" customHeight="1"/>
    <row r="684" ht="49.5" customHeight="1"/>
    <row r="685" ht="49.5" customHeight="1"/>
    <row r="686" ht="49.5" customHeight="1"/>
    <row r="687" ht="49.5" customHeight="1"/>
    <row r="688" ht="49.5" customHeight="1"/>
    <row r="689" ht="49.5" customHeight="1"/>
    <row r="690" ht="49.5" customHeight="1"/>
    <row r="691" ht="49.5" customHeight="1"/>
    <row r="692" ht="49.5" customHeight="1"/>
    <row r="693" ht="49.5" customHeight="1"/>
    <row r="694" ht="49.5" customHeight="1"/>
    <row r="695" ht="49.5" customHeight="1"/>
    <row r="696" ht="49.5" customHeight="1"/>
    <row r="697" ht="49.5" customHeight="1"/>
    <row r="698" ht="49.5" customHeight="1"/>
    <row r="699" ht="49.5" customHeight="1"/>
    <row r="700" ht="49.5" customHeight="1"/>
    <row r="701" ht="49.5" customHeight="1"/>
    <row r="702" ht="49.5" customHeight="1"/>
    <row r="703" ht="49.5" customHeight="1"/>
    <row r="704" ht="49.5" customHeight="1"/>
    <row r="705" ht="49.5" customHeight="1"/>
    <row r="706" ht="49.5" customHeight="1"/>
    <row r="707" ht="49.5" customHeight="1"/>
    <row r="708" ht="49.5" customHeight="1"/>
    <row r="709" ht="49.5" customHeight="1"/>
    <row r="710" ht="49.5" customHeight="1"/>
    <row r="711" ht="49.5" customHeight="1"/>
    <row r="712" ht="49.5" customHeight="1"/>
    <row r="713" ht="49.5" customHeight="1"/>
    <row r="714" ht="49.5" customHeight="1"/>
    <row r="715" ht="49.5" customHeight="1"/>
    <row r="716" ht="49.5" customHeight="1"/>
    <row r="717" ht="49.5" customHeight="1"/>
    <row r="718" ht="49.5" customHeight="1"/>
    <row r="719" ht="49.5" customHeight="1"/>
    <row r="720" ht="49.5" customHeight="1"/>
    <row r="721" ht="49.5" customHeight="1"/>
    <row r="722" ht="49.5" customHeight="1"/>
    <row r="723" ht="49.5" customHeight="1"/>
    <row r="724" ht="49.5" customHeight="1"/>
    <row r="725" ht="49.5" customHeight="1"/>
    <row r="726" ht="49.5" customHeight="1"/>
    <row r="727" ht="49.5" customHeight="1"/>
    <row r="728" ht="49.5" customHeight="1"/>
    <row r="729" ht="49.5" customHeight="1"/>
    <row r="730" ht="49.5" customHeight="1"/>
    <row r="731" ht="49.5" customHeight="1"/>
    <row r="732" ht="49.5" customHeight="1"/>
    <row r="733" ht="49.5" customHeight="1"/>
    <row r="734" ht="49.5" customHeight="1"/>
    <row r="735" ht="49.5" customHeight="1"/>
    <row r="736" ht="49.5" customHeight="1"/>
    <row r="737" ht="49.5" customHeight="1"/>
    <row r="738" ht="49.5" customHeight="1"/>
    <row r="739" ht="49.5" customHeight="1"/>
    <row r="740" ht="49.5" customHeight="1"/>
    <row r="741" ht="49.5" customHeight="1"/>
    <row r="742" ht="49.5" customHeight="1"/>
    <row r="743" ht="49.5" customHeight="1"/>
    <row r="744" ht="49.5" customHeight="1"/>
    <row r="745" ht="49.5" customHeight="1"/>
    <row r="746" ht="49.5" customHeight="1"/>
    <row r="747" ht="49.5" customHeight="1"/>
    <row r="748" ht="49.5" customHeight="1"/>
    <row r="749" ht="49.5" customHeight="1"/>
    <row r="750" ht="49.5" customHeight="1"/>
    <row r="751" ht="49.5" customHeight="1"/>
    <row r="752" ht="49.5" customHeight="1"/>
    <row r="753" ht="49.5" customHeight="1"/>
    <row r="754" ht="49.5" customHeight="1"/>
    <row r="755" ht="49.5" customHeight="1"/>
    <row r="756" ht="49.5" customHeight="1"/>
    <row r="757" ht="49.5" customHeight="1"/>
    <row r="758" ht="49.5" customHeight="1"/>
    <row r="759" ht="49.5" customHeight="1"/>
    <row r="760" ht="49.5" customHeight="1"/>
    <row r="761" ht="49.5" customHeight="1"/>
    <row r="762" ht="49.5" customHeight="1"/>
    <row r="763" ht="49.5" customHeight="1"/>
    <row r="764" ht="49.5" customHeight="1"/>
    <row r="765" ht="49.5" customHeight="1"/>
    <row r="766" ht="49.5" customHeight="1"/>
    <row r="767" ht="49.5" customHeight="1"/>
    <row r="768" ht="49.5" customHeight="1"/>
    <row r="769" ht="49.5" customHeight="1"/>
    <row r="770" ht="49.5" customHeight="1"/>
    <row r="771" ht="49.5" customHeight="1"/>
    <row r="772" ht="49.5" customHeight="1"/>
    <row r="773" ht="49.5" customHeight="1"/>
    <row r="774" ht="49.5" customHeight="1"/>
    <row r="775" ht="49.5" customHeight="1"/>
    <row r="776" ht="49.5" customHeight="1"/>
    <row r="777" ht="49.5" customHeight="1"/>
    <row r="778" ht="49.5" customHeight="1"/>
    <row r="779" ht="49.5" customHeight="1"/>
    <row r="780" ht="49.5" customHeight="1"/>
    <row r="781" ht="49.5" customHeight="1"/>
    <row r="782" ht="49.5" customHeight="1"/>
    <row r="783" ht="49.5" customHeight="1"/>
    <row r="784" ht="49.5" customHeight="1"/>
    <row r="785" ht="49.5" customHeight="1"/>
    <row r="786" ht="49.5" customHeight="1"/>
    <row r="787" ht="49.5" customHeight="1"/>
    <row r="788" ht="49.5" customHeight="1"/>
    <row r="789" ht="49.5" customHeight="1"/>
    <row r="790" ht="49.5" customHeight="1"/>
    <row r="791" ht="49.5" customHeight="1"/>
    <row r="792" ht="49.5" customHeight="1"/>
    <row r="793" ht="49.5" customHeight="1"/>
    <row r="794" ht="49.5" customHeight="1"/>
    <row r="795" ht="49.5" customHeight="1"/>
    <row r="796" ht="49.5" customHeight="1"/>
    <row r="797" ht="49.5" customHeight="1"/>
    <row r="798" ht="49.5" customHeight="1"/>
    <row r="799" ht="49.5" customHeight="1"/>
    <row r="800" ht="49.5" customHeight="1"/>
    <row r="801" ht="49.5" customHeight="1"/>
    <row r="802" ht="49.5" customHeight="1"/>
    <row r="803" ht="49.5" customHeight="1"/>
    <row r="804" ht="49.5" customHeight="1"/>
    <row r="805" ht="49.5" customHeight="1"/>
    <row r="806" ht="49.5" customHeight="1"/>
    <row r="807" ht="49.5" customHeight="1"/>
    <row r="808" ht="49.5" customHeight="1"/>
    <row r="809" ht="49.5" customHeight="1"/>
    <row r="810" ht="49.5" customHeight="1"/>
    <row r="811" ht="49.5" customHeight="1"/>
    <row r="812" ht="49.5" customHeight="1"/>
    <row r="813" ht="49.5" customHeight="1"/>
    <row r="814" ht="49.5" customHeight="1"/>
    <row r="815" ht="49.5" customHeight="1"/>
    <row r="816" ht="49.5" customHeight="1"/>
    <row r="817" ht="49.5" customHeight="1"/>
    <row r="818" ht="49.5" customHeight="1"/>
    <row r="819" ht="49.5" customHeight="1"/>
    <row r="820" ht="49.5" customHeight="1"/>
    <row r="821" ht="49.5" customHeight="1"/>
    <row r="822" ht="49.5" customHeight="1"/>
    <row r="823" ht="49.5" customHeight="1"/>
    <row r="824" ht="49.5" customHeight="1"/>
    <row r="825" ht="49.5" customHeight="1"/>
    <row r="826" ht="49.5" customHeight="1"/>
    <row r="827" ht="49.5" customHeight="1"/>
    <row r="828" ht="49.5" customHeight="1"/>
    <row r="829" ht="49.5" customHeight="1"/>
    <row r="830" ht="49.5" customHeight="1"/>
    <row r="831" ht="49.5" customHeight="1"/>
    <row r="832" ht="49.5" customHeight="1"/>
    <row r="833" ht="49.5" customHeight="1"/>
    <row r="834" ht="49.5" customHeight="1"/>
    <row r="835" ht="49.5" customHeight="1"/>
    <row r="836" ht="49.5" customHeight="1"/>
    <row r="837" ht="49.5" customHeight="1"/>
    <row r="838" ht="49.5" customHeight="1"/>
    <row r="839" ht="49.5" customHeight="1"/>
    <row r="840" ht="49.5" customHeight="1"/>
    <row r="841" ht="49.5" customHeight="1"/>
    <row r="842" ht="49.5" customHeight="1"/>
    <row r="843" ht="49.5" customHeight="1"/>
    <row r="844" ht="49.5" customHeight="1"/>
    <row r="845" ht="49.5" customHeight="1"/>
    <row r="846" ht="49.5" customHeight="1"/>
    <row r="847" ht="49.5" customHeight="1"/>
    <row r="848" ht="49.5" customHeight="1"/>
    <row r="849" ht="49.5" customHeight="1"/>
    <row r="850" ht="49.5" customHeight="1"/>
    <row r="851" ht="49.5" customHeight="1"/>
    <row r="852" ht="49.5" customHeight="1"/>
    <row r="853" ht="49.5" customHeight="1"/>
    <row r="854" ht="49.5" customHeight="1"/>
    <row r="855" ht="49.5" customHeight="1"/>
    <row r="856" ht="49.5" customHeight="1"/>
    <row r="857" ht="49.5" customHeight="1"/>
    <row r="858" ht="49.5" customHeight="1"/>
    <row r="859" ht="49.5" customHeight="1"/>
    <row r="860" ht="49.5" customHeight="1"/>
    <row r="861" ht="49.5" customHeight="1"/>
    <row r="862" ht="49.5" customHeight="1"/>
    <row r="863" ht="49.5" customHeight="1"/>
    <row r="864" ht="49.5" customHeight="1"/>
    <row r="865" ht="49.5" customHeight="1"/>
    <row r="866" ht="49.5" customHeight="1"/>
    <row r="867" ht="49.5" customHeight="1"/>
    <row r="868" ht="49.5" customHeight="1"/>
    <row r="869" ht="49.5" customHeight="1"/>
    <row r="870" ht="49.5" customHeight="1"/>
    <row r="871" ht="49.5" customHeight="1"/>
    <row r="872" ht="49.5" customHeight="1"/>
    <row r="873" ht="49.5" customHeight="1"/>
    <row r="874" ht="49.5" customHeight="1"/>
    <row r="875" ht="49.5" customHeight="1"/>
    <row r="876" ht="49.5" customHeight="1"/>
    <row r="877" ht="49.5" customHeight="1"/>
    <row r="878" ht="49.5" customHeight="1"/>
    <row r="879" ht="49.5" customHeight="1"/>
    <row r="880" ht="49.5" customHeight="1"/>
    <row r="881" ht="49.5" customHeight="1"/>
    <row r="882" ht="49.5" customHeight="1"/>
    <row r="883" ht="49.5" customHeight="1"/>
    <row r="884" ht="49.5" customHeight="1"/>
    <row r="885" ht="49.5" customHeight="1"/>
    <row r="886" ht="49.5" customHeight="1"/>
    <row r="887" ht="49.5" customHeight="1"/>
    <row r="888" ht="49.5" customHeight="1"/>
    <row r="889" ht="49.5" customHeight="1"/>
    <row r="890" ht="49.5" customHeight="1"/>
    <row r="891" ht="49.5" customHeight="1"/>
    <row r="892" ht="49.5" customHeight="1"/>
    <row r="893" ht="49.5" customHeight="1"/>
    <row r="894" ht="49.5" customHeight="1"/>
    <row r="895" ht="49.5" customHeight="1"/>
    <row r="896" ht="49.5" customHeight="1"/>
    <row r="897" ht="49.5" customHeight="1"/>
    <row r="898" ht="49.5" customHeight="1"/>
    <row r="899" ht="49.5" customHeight="1"/>
    <row r="900" ht="49.5" customHeight="1"/>
    <row r="901" ht="49.5" customHeight="1"/>
    <row r="902" ht="49.5" customHeight="1"/>
    <row r="903" ht="49.5" customHeight="1"/>
    <row r="904" ht="49.5" customHeight="1"/>
    <row r="905" ht="49.5" customHeight="1"/>
    <row r="906" ht="49.5" customHeight="1"/>
    <row r="907" ht="49.5" customHeight="1"/>
    <row r="908" ht="49.5" customHeight="1"/>
    <row r="909" ht="49.5" customHeight="1"/>
    <row r="910" ht="49.5" customHeight="1"/>
    <row r="911" ht="49.5" customHeight="1"/>
    <row r="912" ht="49.5" customHeight="1"/>
    <row r="913" ht="49.5" customHeight="1"/>
    <row r="914" ht="49.5" customHeight="1"/>
    <row r="915" ht="49.5" customHeight="1"/>
    <row r="916" ht="49.5" customHeight="1"/>
    <row r="917" ht="49.5" customHeight="1"/>
    <row r="918" ht="49.5" customHeight="1"/>
    <row r="919" ht="49.5" customHeight="1"/>
    <row r="920" ht="49.5" customHeight="1"/>
    <row r="921" ht="49.5" customHeight="1"/>
    <row r="922" ht="49.5" customHeight="1"/>
    <row r="923" ht="49.5" customHeight="1"/>
    <row r="924" ht="49.5" customHeight="1"/>
    <row r="925" ht="49.5" customHeight="1"/>
    <row r="926" ht="49.5" customHeight="1"/>
    <row r="927" ht="49.5" customHeight="1"/>
    <row r="928" ht="49.5" customHeight="1"/>
    <row r="929" ht="49.5" customHeight="1"/>
    <row r="930" ht="49.5" customHeight="1"/>
    <row r="931" ht="49.5" customHeight="1"/>
    <row r="932" ht="49.5" customHeight="1"/>
    <row r="933" ht="49.5" customHeight="1"/>
    <row r="934" ht="49.5" customHeight="1"/>
    <row r="935" ht="49.5" customHeight="1"/>
    <row r="936" ht="49.5" customHeight="1"/>
    <row r="937" ht="49.5" customHeight="1"/>
    <row r="938" ht="49.5" customHeight="1"/>
    <row r="939" ht="49.5" customHeight="1"/>
    <row r="940" ht="49.5" customHeight="1"/>
    <row r="941" ht="49.5" customHeight="1"/>
    <row r="942" ht="49.5" customHeight="1"/>
    <row r="943" ht="49.5" customHeight="1"/>
    <row r="944" ht="49.5" customHeight="1"/>
    <row r="945" ht="49.5" customHeight="1"/>
    <row r="946" ht="49.5" customHeight="1"/>
    <row r="947" ht="49.5" customHeight="1"/>
    <row r="948" ht="49.5" customHeight="1"/>
    <row r="949" ht="49.5" customHeight="1"/>
    <row r="950" ht="49.5" customHeight="1"/>
    <row r="951" ht="49.5" customHeight="1"/>
    <row r="952" ht="49.5" customHeight="1"/>
    <row r="953" ht="49.5" customHeight="1"/>
    <row r="954" ht="49.5" customHeight="1"/>
    <row r="955" ht="49.5" customHeight="1"/>
    <row r="956" ht="49.5" customHeight="1"/>
    <row r="957" ht="49.5" customHeight="1"/>
    <row r="958" ht="49.5" customHeight="1"/>
    <row r="959" ht="49.5" customHeight="1"/>
    <row r="960" ht="49.5" customHeight="1"/>
    <row r="961" ht="49.5" customHeight="1"/>
    <row r="962" ht="49.5" customHeight="1"/>
    <row r="963" ht="49.5" customHeight="1"/>
    <row r="964" ht="49.5" customHeight="1"/>
    <row r="965" ht="49.5" customHeight="1"/>
    <row r="966" ht="49.5" customHeight="1"/>
    <row r="967" ht="49.5" customHeight="1"/>
    <row r="968" ht="49.5" customHeight="1"/>
    <row r="969" ht="49.5" customHeight="1"/>
    <row r="970" ht="49.5" customHeight="1"/>
    <row r="971" ht="49.5" customHeight="1"/>
    <row r="972" ht="49.5" customHeight="1"/>
    <row r="973" ht="49.5" customHeight="1"/>
    <row r="974" ht="49.5" customHeight="1"/>
    <row r="975" ht="49.5" customHeight="1"/>
    <row r="976" ht="49.5" customHeight="1"/>
    <row r="977" ht="49.5" customHeight="1"/>
    <row r="978" ht="49.5" customHeight="1"/>
    <row r="979" ht="49.5" customHeight="1"/>
    <row r="980" ht="49.5" customHeight="1"/>
    <row r="981" ht="49.5" customHeight="1"/>
    <row r="982" ht="49.5" customHeight="1"/>
    <row r="983" ht="49.5" customHeight="1"/>
    <row r="984" ht="49.5" customHeight="1"/>
    <row r="985" ht="49.5" customHeight="1"/>
    <row r="986" ht="49.5" customHeight="1"/>
    <row r="987" ht="49.5" customHeight="1"/>
    <row r="988" ht="49.5" customHeight="1"/>
    <row r="989" ht="49.5" customHeight="1"/>
    <row r="990" ht="49.5" customHeight="1"/>
    <row r="991" ht="49.5" customHeight="1"/>
    <row r="992" ht="49.5" customHeight="1"/>
    <row r="993" ht="49.5" customHeight="1"/>
    <row r="994" ht="49.5" customHeight="1"/>
    <row r="995" ht="49.5" customHeight="1"/>
    <row r="996" ht="49.5" customHeight="1"/>
    <row r="997" ht="49.5" customHeight="1"/>
    <row r="998" ht="49.5" customHeight="1"/>
    <row r="999" ht="49.5" customHeight="1"/>
    <row r="1000" ht="49.5" customHeight="1"/>
  </sheetData>
  <dataValidations>
    <dataValidation type="custom" allowBlank="1" showDropDown="1" sqref="B2:G2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25"/>
  </cols>
  <sheetData>
    <row r="1" ht="22.5" customHeight="1">
      <c r="A1" s="1" t="s">
        <v>0</v>
      </c>
      <c r="B1" s="1" t="s">
        <v>1</v>
      </c>
      <c r="C1" s="1" t="s">
        <v>5</v>
      </c>
      <c r="D1" s="2" t="s">
        <v>23</v>
      </c>
    </row>
    <row r="2" ht="22.5" customHeight="1">
      <c r="A2" s="3" t="s">
        <v>18</v>
      </c>
      <c r="B2" s="4">
        <v>71.0</v>
      </c>
      <c r="C2" s="4">
        <v>-18.0</v>
      </c>
      <c r="D2" s="5">
        <f t="shared" ref="D2:D9" si="1">SQRT(B2^2+C2^2)</f>
        <v>73.24616031</v>
      </c>
    </row>
    <row r="3" ht="22.5" customHeight="1">
      <c r="A3" s="3" t="s">
        <v>30</v>
      </c>
      <c r="B3" s="4">
        <v>11.0</v>
      </c>
      <c r="C3" s="4">
        <v>-69.0</v>
      </c>
      <c r="D3" s="5">
        <f t="shared" si="1"/>
        <v>69.87131028</v>
      </c>
    </row>
    <row r="4" ht="22.5" customHeight="1">
      <c r="A4" s="3" t="s">
        <v>32</v>
      </c>
      <c r="B4" s="4">
        <v>28.0</v>
      </c>
      <c r="C4" s="4">
        <v>-64.0</v>
      </c>
      <c r="D4" s="5">
        <f t="shared" si="1"/>
        <v>69.85699679</v>
      </c>
      <c r="J4" s="10" t="s">
        <v>5</v>
      </c>
    </row>
    <row r="5" ht="22.5" customHeight="1">
      <c r="A5" s="3" t="s">
        <v>34</v>
      </c>
      <c r="B5" s="4">
        <v>56.0</v>
      </c>
      <c r="C5" s="4">
        <v>-35.0</v>
      </c>
      <c r="D5" s="5">
        <f t="shared" si="1"/>
        <v>66.03786792</v>
      </c>
    </row>
    <row r="6" ht="22.5" customHeight="1">
      <c r="A6" s="3" t="s">
        <v>24</v>
      </c>
      <c r="B6" s="4">
        <v>41.0</v>
      </c>
      <c r="C6" s="4">
        <v>-47.0</v>
      </c>
      <c r="D6" s="5">
        <f t="shared" si="1"/>
        <v>62.36986452</v>
      </c>
    </row>
    <row r="7" ht="22.5" customHeight="1">
      <c r="A7" s="3" t="s">
        <v>36</v>
      </c>
      <c r="B7" s="4">
        <v>27.0</v>
      </c>
      <c r="C7" s="4">
        <v>-54.0</v>
      </c>
      <c r="D7" s="5">
        <f t="shared" si="1"/>
        <v>60.37383539</v>
      </c>
    </row>
    <row r="8" ht="22.5" customHeight="1">
      <c r="A8" s="3" t="s">
        <v>39</v>
      </c>
      <c r="B8" s="4">
        <v>33.0</v>
      </c>
      <c r="C8" s="4">
        <v>-33.0</v>
      </c>
      <c r="D8" s="5">
        <f t="shared" si="1"/>
        <v>46.66904756</v>
      </c>
    </row>
    <row r="9" ht="22.5" customHeight="1">
      <c r="A9" s="3" t="s">
        <v>41</v>
      </c>
      <c r="B9" s="4">
        <v>28.0</v>
      </c>
      <c r="C9" s="4">
        <v>-36.0</v>
      </c>
      <c r="D9" s="5">
        <f t="shared" si="1"/>
        <v>45.607017</v>
      </c>
    </row>
    <row r="10" ht="22.5" customHeight="1">
      <c r="A10" s="11"/>
      <c r="B10" s="5">
        <f>SUM(Table2_3[Agree])/COUNT(Table2_3[Agree])</f>
        <v>36.875</v>
      </c>
      <c r="C10" s="5">
        <f>SUM(Table2_3[Disagree])/COUNT(Table2_3[Disagree])</f>
        <v>-44.5</v>
      </c>
      <c r="D10" s="5"/>
    </row>
  </sheetData>
  <dataValidations>
    <dataValidation type="custom" allowBlank="1" showDropDown="1" sqref="B2:C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25"/>
    <col customWidth="1" min="3" max="3" width="17.38"/>
    <col customWidth="1" min="5" max="5" width="21.25"/>
    <col customWidth="1" min="7" max="7" width="19.5"/>
  </cols>
  <sheetData>
    <row r="1" ht="22.5" customHeight="1">
      <c r="A1" s="1" t="s">
        <v>0</v>
      </c>
      <c r="B1" s="1" t="s">
        <v>1</v>
      </c>
      <c r="C1" s="9" t="s">
        <v>25</v>
      </c>
      <c r="D1" s="1" t="s">
        <v>3</v>
      </c>
      <c r="E1" s="9" t="s">
        <v>27</v>
      </c>
      <c r="F1" s="1" t="s">
        <v>5</v>
      </c>
      <c r="G1" s="2" t="s">
        <v>28</v>
      </c>
    </row>
    <row r="2" ht="22.5" customHeight="1">
      <c r="A2" s="3" t="s">
        <v>30</v>
      </c>
      <c r="B2" s="4">
        <v>11.0</v>
      </c>
      <c r="C2" s="4">
        <f>B2-Table2[[#TOTALS],[Agree]]</f>
        <v>-25.875</v>
      </c>
      <c r="D2" s="4">
        <v>20.0</v>
      </c>
      <c r="E2" s="4">
        <f>D2-Table2[[#TOTALS],[No opinion]]</f>
        <v>1.5</v>
      </c>
      <c r="F2" s="4">
        <v>69.0</v>
      </c>
      <c r="G2" s="12">
        <f>F2-Table2[[#TOTALS],[Disagree]]</f>
        <v>24.5</v>
      </c>
    </row>
    <row r="3" ht="22.5" customHeight="1">
      <c r="A3" s="3" t="s">
        <v>36</v>
      </c>
      <c r="B3" s="4">
        <v>27.0</v>
      </c>
      <c r="C3" s="4">
        <f>B3-Table2[[#TOTALS],[Agree]]</f>
        <v>-9.875</v>
      </c>
      <c r="D3" s="4">
        <v>18.0</v>
      </c>
      <c r="E3" s="4">
        <f>D3-Table2[[#TOTALS],[No opinion]]</f>
        <v>-0.5</v>
      </c>
      <c r="F3" s="4">
        <v>54.0</v>
      </c>
      <c r="G3" s="12">
        <f>F3-Table2[[#TOTALS],[Disagree]]</f>
        <v>9.5</v>
      </c>
    </row>
    <row r="4" ht="22.5" customHeight="1">
      <c r="A4" s="3" t="s">
        <v>32</v>
      </c>
      <c r="B4" s="4">
        <v>28.0</v>
      </c>
      <c r="C4" s="4">
        <f>B4-Table2[[#TOTALS],[Agree]]</f>
        <v>-8.875</v>
      </c>
      <c r="D4" s="4">
        <v>8.0</v>
      </c>
      <c r="E4" s="4">
        <f>D4-Table2[[#TOTALS],[No opinion]]</f>
        <v>-10.5</v>
      </c>
      <c r="F4" s="4">
        <v>64.0</v>
      </c>
      <c r="G4" s="12">
        <f>F4-Table2[[#TOTALS],[Disagree]]</f>
        <v>19.5</v>
      </c>
      <c r="N4" s="10" t="s">
        <v>5</v>
      </c>
    </row>
    <row r="5" ht="22.5" customHeight="1">
      <c r="A5" s="3" t="s">
        <v>47</v>
      </c>
      <c r="B5" s="4">
        <v>28.0</v>
      </c>
      <c r="C5" s="4">
        <f>B5-Table2[[#TOTALS],[Agree]]</f>
        <v>-8.875</v>
      </c>
      <c r="D5" s="4">
        <v>36.0</v>
      </c>
      <c r="E5" s="4">
        <f>D5-Table2[[#TOTALS],[No opinion]]</f>
        <v>17.5</v>
      </c>
      <c r="F5" s="4">
        <v>36.0</v>
      </c>
      <c r="G5" s="12">
        <f>F5-Table2[[#TOTALS],[Disagree]]</f>
        <v>-8.5</v>
      </c>
    </row>
    <row r="6" ht="22.5" customHeight="1">
      <c r="A6" s="3" t="s">
        <v>39</v>
      </c>
      <c r="B6" s="4">
        <v>33.0</v>
      </c>
      <c r="C6" s="4">
        <f>B6-Table2[[#TOTALS],[Agree]]</f>
        <v>-3.875</v>
      </c>
      <c r="D6" s="4">
        <v>34.0</v>
      </c>
      <c r="E6" s="4">
        <f>D6-Table2[[#TOTALS],[No opinion]]</f>
        <v>15.5</v>
      </c>
      <c r="F6" s="4">
        <v>33.0</v>
      </c>
      <c r="G6" s="12">
        <f>F6-Table2[[#TOTALS],[Disagree]]</f>
        <v>-11.5</v>
      </c>
    </row>
    <row r="7" ht="22.5" customHeight="1">
      <c r="A7" s="3" t="s">
        <v>24</v>
      </c>
      <c r="B7" s="4">
        <v>41.0</v>
      </c>
      <c r="C7" s="4">
        <f>B7-Table2[[#TOTALS],[Agree]]</f>
        <v>4.125</v>
      </c>
      <c r="D7" s="4">
        <v>12.0</v>
      </c>
      <c r="E7" s="4">
        <f>D7-Table2[[#TOTALS],[No opinion]]</f>
        <v>-6.5</v>
      </c>
      <c r="F7" s="4">
        <v>47.0</v>
      </c>
      <c r="G7" s="12">
        <f>F7-Table2[[#TOTALS],[Disagree]]</f>
        <v>2.5</v>
      </c>
    </row>
    <row r="8" ht="22.5" customHeight="1">
      <c r="A8" s="3" t="s">
        <v>34</v>
      </c>
      <c r="B8" s="4">
        <v>56.0</v>
      </c>
      <c r="C8" s="4">
        <f>B8-Table2[[#TOTALS],[Agree]]</f>
        <v>19.125</v>
      </c>
      <c r="D8" s="4">
        <v>9.0</v>
      </c>
      <c r="E8" s="4">
        <f>D8-Table2[[#TOTALS],[No opinion]]</f>
        <v>-9.5</v>
      </c>
      <c r="F8" s="4">
        <v>35.0</v>
      </c>
      <c r="G8" s="12">
        <f>F8-Table2[[#TOTALS],[Disagree]]</f>
        <v>-9.5</v>
      </c>
    </row>
    <row r="9" ht="22.5" customHeight="1">
      <c r="A9" s="3" t="s">
        <v>18</v>
      </c>
      <c r="B9" s="4">
        <v>71.0</v>
      </c>
      <c r="C9" s="4">
        <f>B9-Table2[[#TOTALS],[Agree]]</f>
        <v>34.125</v>
      </c>
      <c r="D9" s="4">
        <v>11.0</v>
      </c>
      <c r="E9" s="4">
        <f>D9-Table2[[#TOTALS],[No opinion]]</f>
        <v>-7.5</v>
      </c>
      <c r="F9" s="4">
        <v>18.0</v>
      </c>
      <c r="G9" s="12">
        <f>F9-Table2[[#TOTALS],[Disagree]]</f>
        <v>-26.5</v>
      </c>
    </row>
    <row r="10" ht="22.5" customHeight="1">
      <c r="A10" s="15" t="s">
        <v>53</v>
      </c>
      <c r="B10" s="5">
        <f>SUM(Table2[Agree])/COUNT(Table2[Agree])</f>
        <v>36.875</v>
      </c>
      <c r="C10" s="5"/>
      <c r="D10" s="5">
        <f>SUM(Table2[No opinion])/COUNT(Table2[No opinion])</f>
        <v>18.5</v>
      </c>
      <c r="E10" s="5"/>
      <c r="F10" s="5">
        <f>SUM(Table2[Disagree])/COUNT(Table2[Disagree])</f>
        <v>44.5</v>
      </c>
      <c r="G10" s="5"/>
    </row>
  </sheetData>
  <dataValidations>
    <dataValidation type="custom" allowBlank="1" showDropDown="1" sqref="B2:B9 D2:D9 F2:F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25"/>
  </cols>
  <sheetData>
    <row r="1" ht="22.5" customHeight="1">
      <c r="A1" s="1" t="s">
        <v>0</v>
      </c>
      <c r="B1" s="1" t="s">
        <v>1</v>
      </c>
      <c r="C1" s="1" t="s">
        <v>58</v>
      </c>
      <c r="D1" s="1" t="s">
        <v>5</v>
      </c>
    </row>
    <row r="2" ht="22.5" customHeight="1">
      <c r="A2" s="3" t="s">
        <v>9</v>
      </c>
      <c r="B2" s="4">
        <v>92.0</v>
      </c>
      <c r="C2" s="4">
        <v>6.0</v>
      </c>
      <c r="D2" s="4">
        <v>2.0</v>
      </c>
    </row>
    <row r="3" ht="22.5" customHeight="1">
      <c r="A3" s="3" t="s">
        <v>11</v>
      </c>
      <c r="B3" s="4">
        <v>78.0</v>
      </c>
      <c r="C3" s="4">
        <v>6.0</v>
      </c>
      <c r="D3" s="4">
        <v>16.0</v>
      </c>
    </row>
    <row r="4" ht="22.5" customHeight="1">
      <c r="A4" s="3" t="s">
        <v>12</v>
      </c>
      <c r="B4" s="4">
        <v>76.0</v>
      </c>
      <c r="C4" s="4">
        <v>11.0</v>
      </c>
      <c r="D4" s="4">
        <v>12.0</v>
      </c>
    </row>
    <row r="5" ht="22.5" customHeight="1">
      <c r="A5" s="3" t="s">
        <v>20</v>
      </c>
      <c r="B5" s="4">
        <v>71.0</v>
      </c>
      <c r="C5" s="4">
        <v>12.0</v>
      </c>
      <c r="D5" s="4">
        <v>17.0</v>
      </c>
    </row>
    <row r="6" ht="22.5" customHeight="1">
      <c r="A6" s="3" t="s">
        <v>38</v>
      </c>
      <c r="B6" s="4">
        <v>58.0</v>
      </c>
      <c r="C6" s="4">
        <v>15.0</v>
      </c>
      <c r="D6" s="4">
        <v>28.0</v>
      </c>
    </row>
    <row r="7" ht="22.5" customHeight="1">
      <c r="A7" s="3" t="s">
        <v>45</v>
      </c>
      <c r="B7" s="4">
        <v>52.0</v>
      </c>
      <c r="C7" s="4">
        <v>16.0</v>
      </c>
      <c r="D7" s="4">
        <v>32.0</v>
      </c>
    </row>
    <row r="8" ht="22.5" customHeight="1">
      <c r="A8" s="3" t="s">
        <v>49</v>
      </c>
      <c r="B8" s="4">
        <v>46.0</v>
      </c>
      <c r="C8" s="4">
        <v>11.0</v>
      </c>
      <c r="D8" s="4">
        <v>43.0</v>
      </c>
    </row>
    <row r="9" ht="22.5" customHeight="1">
      <c r="A9" s="3" t="s">
        <v>31</v>
      </c>
      <c r="B9" s="4">
        <v>23.0</v>
      </c>
      <c r="C9" s="4">
        <v>11.0</v>
      </c>
      <c r="D9" s="4">
        <v>66.0</v>
      </c>
    </row>
    <row r="10" ht="22.5" customHeight="1">
      <c r="A10" s="3" t="s">
        <v>14</v>
      </c>
      <c r="B10" s="4">
        <v>17.0</v>
      </c>
      <c r="C10" s="4">
        <v>9.0</v>
      </c>
      <c r="D10" s="4">
        <v>74.0</v>
      </c>
    </row>
  </sheetData>
  <dataValidations>
    <dataValidation type="custom" allowBlank="1" showDropDown="1" sqref="B2:D10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0"/>
    <col customWidth="1" min="2" max="2" width="13.13"/>
    <col customWidth="1" min="4" max="4" width="16.75"/>
    <col customWidth="1" min="6" max="6" width="15.25"/>
  </cols>
  <sheetData>
    <row r="1" ht="22.5" customHeight="1">
      <c r="A1" s="7" t="s">
        <v>57</v>
      </c>
      <c r="B1" s="7" t="s">
        <v>1</v>
      </c>
      <c r="C1" s="7" t="s">
        <v>54</v>
      </c>
      <c r="D1" s="7" t="s">
        <v>3</v>
      </c>
      <c r="E1" s="7" t="s">
        <v>55</v>
      </c>
      <c r="F1" s="7" t="s">
        <v>5</v>
      </c>
      <c r="G1" s="7" t="s">
        <v>56</v>
      </c>
    </row>
    <row r="2" ht="42.0" customHeight="1">
      <c r="A2" s="3" t="s">
        <v>48</v>
      </c>
      <c r="B2" s="4">
        <v>453.0</v>
      </c>
      <c r="C2" s="4">
        <v>83.0</v>
      </c>
      <c r="D2" s="4">
        <v>34.0</v>
      </c>
      <c r="E2" s="4">
        <v>6.0</v>
      </c>
      <c r="F2" s="4">
        <v>59.0</v>
      </c>
      <c r="G2" s="4">
        <v>11.0</v>
      </c>
    </row>
    <row r="3" ht="42.0" customHeight="1">
      <c r="A3" s="3" t="s">
        <v>43</v>
      </c>
      <c r="B3" s="4">
        <v>407.0</v>
      </c>
      <c r="C3" s="4">
        <v>75.0</v>
      </c>
      <c r="D3" s="4">
        <v>46.0</v>
      </c>
      <c r="E3" s="4">
        <v>8.0</v>
      </c>
      <c r="F3" s="4">
        <v>93.0</v>
      </c>
      <c r="G3" s="4">
        <v>17.0</v>
      </c>
    </row>
    <row r="4" ht="42.0" customHeight="1">
      <c r="A4" s="3" t="s">
        <v>35</v>
      </c>
      <c r="B4" s="4">
        <v>377.0</v>
      </c>
      <c r="C4" s="4">
        <v>69.0</v>
      </c>
      <c r="D4" s="4">
        <v>61.0</v>
      </c>
      <c r="E4" s="4">
        <v>11.0</v>
      </c>
      <c r="F4" s="4">
        <v>107.0</v>
      </c>
      <c r="G4" s="4">
        <v>20.0</v>
      </c>
    </row>
    <row r="5" ht="42.0" customHeight="1">
      <c r="A5" s="3" t="s">
        <v>22</v>
      </c>
      <c r="B5" s="4">
        <v>267.0</v>
      </c>
      <c r="C5" s="4">
        <v>49.0</v>
      </c>
      <c r="D5" s="4">
        <v>62.0</v>
      </c>
      <c r="E5" s="4">
        <v>11.0</v>
      </c>
      <c r="F5" s="4">
        <v>217.0</v>
      </c>
      <c r="G5" s="4">
        <v>40.0</v>
      </c>
    </row>
    <row r="6" ht="42.0" customHeight="1">
      <c r="A6" s="3" t="s">
        <v>40</v>
      </c>
      <c r="B6" s="4">
        <v>210.0</v>
      </c>
      <c r="C6" s="4">
        <v>39.0</v>
      </c>
      <c r="D6" s="4">
        <v>157.0</v>
      </c>
      <c r="E6" s="4">
        <v>29.0</v>
      </c>
      <c r="F6" s="4">
        <v>178.0</v>
      </c>
      <c r="G6" s="4">
        <v>33.0</v>
      </c>
    </row>
    <row r="7" ht="42.0" customHeight="1">
      <c r="A7" s="3" t="s">
        <v>44</v>
      </c>
      <c r="B7" s="4">
        <v>203.0</v>
      </c>
      <c r="C7" s="4">
        <v>37.0</v>
      </c>
      <c r="D7" s="4">
        <v>109.0</v>
      </c>
      <c r="E7" s="4">
        <v>20.0</v>
      </c>
      <c r="F7" s="4">
        <v>178.0</v>
      </c>
      <c r="G7" s="4">
        <v>33.0</v>
      </c>
    </row>
    <row r="8" ht="42.0" customHeight="1">
      <c r="A8" s="3" t="s">
        <v>59</v>
      </c>
      <c r="B8" s="4">
        <v>182.0</v>
      </c>
      <c r="C8" s="4">
        <v>33.0</v>
      </c>
      <c r="D8" s="4">
        <v>115.0</v>
      </c>
      <c r="E8" s="4">
        <v>21.0</v>
      </c>
      <c r="F8" s="4">
        <v>247.0</v>
      </c>
      <c r="G8" s="4">
        <v>45.0</v>
      </c>
    </row>
    <row r="9" ht="42.0" customHeight="1"/>
  </sheetData>
  <dataValidations>
    <dataValidation type="custom" allowBlank="1" showDropDown="1" sqref="B2:G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13"/>
    <col customWidth="1" min="2" max="2" width="13.25"/>
    <col customWidth="1" min="4" max="4" width="16.88"/>
    <col customWidth="1" min="6" max="6" width="15.38"/>
  </cols>
  <sheetData>
    <row r="1" ht="22.5" customHeight="1">
      <c r="A1" s="1" t="s">
        <v>0</v>
      </c>
      <c r="B1" s="1" t="s">
        <v>1</v>
      </c>
      <c r="C1" s="1" t="s">
        <v>54</v>
      </c>
      <c r="D1" s="1" t="s">
        <v>3</v>
      </c>
      <c r="E1" s="1" t="s">
        <v>55</v>
      </c>
      <c r="F1" s="1" t="s">
        <v>5</v>
      </c>
      <c r="G1" s="1" t="s">
        <v>56</v>
      </c>
    </row>
    <row r="2" ht="49.5" customHeight="1">
      <c r="A2" s="3" t="s">
        <v>31</v>
      </c>
      <c r="B2" s="4">
        <v>124.0</v>
      </c>
      <c r="C2" s="4">
        <v>23.0</v>
      </c>
      <c r="D2" s="4">
        <v>61.0</v>
      </c>
      <c r="E2" s="4">
        <v>11.0</v>
      </c>
      <c r="F2" s="4">
        <v>358.0</v>
      </c>
      <c r="G2" s="4">
        <v>66.0</v>
      </c>
    </row>
    <row r="3" ht="49.5" customHeight="1">
      <c r="A3" s="3" t="s">
        <v>32</v>
      </c>
      <c r="B3" s="4">
        <v>153.0</v>
      </c>
      <c r="C3" s="4">
        <v>28.0</v>
      </c>
      <c r="D3" s="4">
        <v>42.0</v>
      </c>
      <c r="E3" s="4">
        <v>8.0</v>
      </c>
      <c r="F3" s="4">
        <v>349.0</v>
      </c>
      <c r="G3" s="4">
        <v>64.0</v>
      </c>
    </row>
    <row r="4" ht="49.5" customHeight="1">
      <c r="A4" s="18" t="s">
        <v>46</v>
      </c>
      <c r="B4" s="19">
        <v>267.0</v>
      </c>
      <c r="C4" s="19">
        <v>49.0</v>
      </c>
      <c r="D4" s="19">
        <v>62.0</v>
      </c>
      <c r="E4" s="19">
        <v>11.0</v>
      </c>
      <c r="F4" s="19">
        <v>217.0</v>
      </c>
      <c r="G4" s="19">
        <v>40.0</v>
      </c>
    </row>
    <row r="5" ht="49.5" customHeight="1">
      <c r="A5" s="18" t="s">
        <v>50</v>
      </c>
      <c r="B5" s="19">
        <v>182.0</v>
      </c>
      <c r="C5" s="19">
        <v>33.0</v>
      </c>
      <c r="D5" s="19">
        <v>115.0</v>
      </c>
      <c r="E5" s="19">
        <v>21.0</v>
      </c>
      <c r="F5" s="19">
        <v>247.0</v>
      </c>
      <c r="G5" s="19">
        <v>45.0</v>
      </c>
    </row>
    <row r="6" ht="49.5" customHeight="1">
      <c r="A6" s="18" t="s">
        <v>26</v>
      </c>
      <c r="B6" s="19">
        <v>377.0</v>
      </c>
      <c r="C6" s="19">
        <v>69.0</v>
      </c>
      <c r="D6" s="19">
        <v>61.0</v>
      </c>
      <c r="E6" s="19">
        <v>11.0</v>
      </c>
      <c r="F6" s="19">
        <v>107.0</v>
      </c>
      <c r="G6" s="19">
        <v>20.0</v>
      </c>
    </row>
    <row r="7" ht="49.5" customHeight="1">
      <c r="A7" s="18" t="s">
        <v>51</v>
      </c>
      <c r="B7" s="19">
        <v>210.0</v>
      </c>
      <c r="C7" s="19">
        <v>39.0</v>
      </c>
      <c r="D7" s="19">
        <v>157.0</v>
      </c>
      <c r="E7" s="19">
        <v>29.0</v>
      </c>
      <c r="F7" s="19">
        <v>178.0</v>
      </c>
      <c r="G7" s="19">
        <v>33.0</v>
      </c>
    </row>
    <row r="8" ht="49.5" customHeight="1">
      <c r="A8" s="18" t="s">
        <v>13</v>
      </c>
      <c r="B8" s="19">
        <v>407.0</v>
      </c>
      <c r="C8" s="19">
        <v>75.0</v>
      </c>
      <c r="D8" s="19">
        <v>46.0</v>
      </c>
      <c r="E8" s="19">
        <v>8.0</v>
      </c>
      <c r="F8" s="19">
        <v>93.0</v>
      </c>
      <c r="G8" s="19">
        <v>17.0</v>
      </c>
    </row>
    <row r="9" ht="49.5" customHeight="1">
      <c r="A9" s="18" t="s">
        <v>52</v>
      </c>
      <c r="B9" s="19">
        <v>203.0</v>
      </c>
      <c r="C9" s="19">
        <v>37.0</v>
      </c>
      <c r="D9" s="19">
        <v>109.0</v>
      </c>
      <c r="E9" s="19">
        <v>20.0</v>
      </c>
      <c r="F9" s="19">
        <v>178.0</v>
      </c>
      <c r="G9" s="19">
        <v>33.0</v>
      </c>
    </row>
    <row r="10" ht="49.5" customHeight="1">
      <c r="A10" s="18" t="s">
        <v>10</v>
      </c>
      <c r="B10" s="19">
        <v>453.0</v>
      </c>
      <c r="C10" s="19">
        <v>83.0</v>
      </c>
      <c r="D10" s="19">
        <v>34.0</v>
      </c>
      <c r="E10" s="19">
        <v>6.0</v>
      </c>
      <c r="F10" s="19">
        <v>59.0</v>
      </c>
      <c r="G10" s="19">
        <v>11.0</v>
      </c>
    </row>
    <row r="11" ht="49.5" customHeight="1">
      <c r="A11" s="3" t="s">
        <v>49</v>
      </c>
      <c r="B11" s="4">
        <v>248.0</v>
      </c>
      <c r="C11" s="4">
        <v>46.0</v>
      </c>
      <c r="D11" s="4">
        <v>62.0</v>
      </c>
      <c r="E11" s="4">
        <v>11.0</v>
      </c>
      <c r="F11" s="4">
        <v>234.0</v>
      </c>
      <c r="G11" s="4">
        <v>43.0</v>
      </c>
    </row>
    <row r="12" ht="49.5" customHeight="1">
      <c r="A12" s="3" t="s">
        <v>11</v>
      </c>
      <c r="B12" s="4">
        <v>423.0</v>
      </c>
      <c r="C12" s="4">
        <v>78.0</v>
      </c>
      <c r="D12" s="4">
        <v>33.0</v>
      </c>
      <c r="E12" s="4">
        <v>6.0</v>
      </c>
      <c r="F12" s="4">
        <v>89.0</v>
      </c>
      <c r="G12" s="4">
        <v>16.0</v>
      </c>
    </row>
    <row r="13" ht="49.5" customHeight="1">
      <c r="A13" s="3" t="s">
        <v>33</v>
      </c>
      <c r="B13" s="4">
        <v>197.0</v>
      </c>
      <c r="C13" s="4">
        <v>36.0</v>
      </c>
      <c r="D13" s="4">
        <v>197.0</v>
      </c>
      <c r="E13" s="4">
        <v>36.0</v>
      </c>
      <c r="F13" s="4">
        <v>150.0</v>
      </c>
      <c r="G13" s="4">
        <v>28.0</v>
      </c>
    </row>
    <row r="14" ht="49.5" customHeight="1">
      <c r="A14" s="3" t="s">
        <v>45</v>
      </c>
      <c r="B14" s="4">
        <v>286.0</v>
      </c>
      <c r="C14" s="4">
        <v>52.0</v>
      </c>
      <c r="D14" s="4">
        <v>86.0</v>
      </c>
      <c r="E14" s="4">
        <v>16.0</v>
      </c>
      <c r="F14" s="4">
        <v>173.0</v>
      </c>
      <c r="G14" s="4">
        <v>32.0</v>
      </c>
    </row>
    <row r="15" ht="49.5" customHeight="1">
      <c r="A15" s="3" t="s">
        <v>37</v>
      </c>
      <c r="B15" s="4">
        <v>189.0</v>
      </c>
      <c r="C15" s="4">
        <v>35.0</v>
      </c>
      <c r="D15" s="4">
        <v>48.0</v>
      </c>
      <c r="E15" s="4">
        <v>9.0</v>
      </c>
      <c r="F15" s="4">
        <v>307.0</v>
      </c>
      <c r="G15" s="4">
        <v>56.0</v>
      </c>
    </row>
    <row r="16" ht="49.5" customHeight="1">
      <c r="A16" s="3" t="s">
        <v>38</v>
      </c>
      <c r="B16" s="4">
        <v>315.0</v>
      </c>
      <c r="C16" s="4">
        <v>58.0</v>
      </c>
      <c r="D16" s="4">
        <v>80.0</v>
      </c>
      <c r="E16" s="4">
        <v>15.0</v>
      </c>
      <c r="F16" s="4">
        <v>152.0</v>
      </c>
      <c r="G16" s="4">
        <v>28.0</v>
      </c>
    </row>
    <row r="17" ht="49.5" customHeight="1">
      <c r="A17" s="3" t="s">
        <v>21</v>
      </c>
      <c r="B17" s="4">
        <v>377.0</v>
      </c>
      <c r="C17" s="4">
        <v>69.0</v>
      </c>
      <c r="D17" s="4">
        <v>109.0</v>
      </c>
      <c r="E17" s="4">
        <v>20.0</v>
      </c>
      <c r="F17" s="4">
        <v>60.0</v>
      </c>
      <c r="G17" s="4">
        <v>11.0</v>
      </c>
    </row>
    <row r="18" ht="49.5" customHeight="1">
      <c r="A18" s="3" t="s">
        <v>24</v>
      </c>
      <c r="B18" s="4">
        <v>221.0</v>
      </c>
      <c r="C18" s="4">
        <v>41.0</v>
      </c>
      <c r="D18" s="4">
        <v>68.0</v>
      </c>
      <c r="E18" s="4">
        <v>12.0</v>
      </c>
      <c r="F18" s="4">
        <v>256.0</v>
      </c>
      <c r="G18" s="4">
        <v>47.0</v>
      </c>
    </row>
    <row r="19" ht="49.5" customHeight="1">
      <c r="A19" s="3" t="s">
        <v>42</v>
      </c>
      <c r="B19" s="4">
        <v>182.0</v>
      </c>
      <c r="C19" s="4">
        <v>33.0</v>
      </c>
      <c r="D19" s="4">
        <v>185.0</v>
      </c>
      <c r="E19" s="4">
        <v>34.0</v>
      </c>
      <c r="F19" s="4">
        <v>177.0</v>
      </c>
      <c r="G19" s="4">
        <v>33.0</v>
      </c>
    </row>
    <row r="20" ht="49.5" customHeight="1">
      <c r="A20" s="3" t="s">
        <v>36</v>
      </c>
      <c r="B20" s="4">
        <v>150.0</v>
      </c>
      <c r="C20" s="4">
        <v>27.0</v>
      </c>
      <c r="D20" s="4">
        <v>100.0</v>
      </c>
      <c r="E20" s="4">
        <v>18.0</v>
      </c>
      <c r="F20" s="4">
        <v>297.0</v>
      </c>
      <c r="G20" s="4">
        <v>54.0</v>
      </c>
    </row>
    <row r="21" ht="49.5" customHeight="1">
      <c r="A21" s="3" t="s">
        <v>20</v>
      </c>
      <c r="B21" s="4">
        <v>384.0</v>
      </c>
      <c r="C21" s="4">
        <v>71.0</v>
      </c>
      <c r="D21" s="4">
        <v>67.0</v>
      </c>
      <c r="E21" s="4">
        <v>12.0</v>
      </c>
      <c r="F21" s="4">
        <v>92.0</v>
      </c>
      <c r="G21" s="4">
        <v>17.0</v>
      </c>
    </row>
    <row r="22" ht="49.5" customHeight="1">
      <c r="A22" s="3" t="s">
        <v>14</v>
      </c>
      <c r="B22" s="4">
        <v>92.0</v>
      </c>
      <c r="C22" s="4">
        <v>17.0</v>
      </c>
      <c r="D22" s="4">
        <v>46.0</v>
      </c>
      <c r="E22" s="4">
        <v>9.0</v>
      </c>
      <c r="F22" s="4">
        <v>398.0</v>
      </c>
      <c r="G22" s="4">
        <v>74.0</v>
      </c>
    </row>
    <row r="23" ht="49.5" customHeight="1">
      <c r="A23" s="3" t="s">
        <v>18</v>
      </c>
      <c r="B23" s="4">
        <v>385.0</v>
      </c>
      <c r="C23" s="4">
        <v>71.0</v>
      </c>
      <c r="D23" s="4">
        <v>58.0</v>
      </c>
      <c r="E23" s="4">
        <v>11.0</v>
      </c>
      <c r="F23" s="4">
        <v>97.0</v>
      </c>
      <c r="G23" s="4">
        <v>18.0</v>
      </c>
    </row>
    <row r="24" ht="49.5" customHeight="1">
      <c r="A24" s="3" t="s">
        <v>9</v>
      </c>
      <c r="B24" s="4">
        <v>501.0</v>
      </c>
      <c r="C24" s="4">
        <v>92.0</v>
      </c>
      <c r="D24" s="4">
        <v>34.0</v>
      </c>
      <c r="E24" s="4">
        <v>6.0</v>
      </c>
      <c r="F24" s="4">
        <v>12.0</v>
      </c>
      <c r="G24" s="4">
        <v>2.0</v>
      </c>
    </row>
    <row r="25" ht="49.5" customHeight="1">
      <c r="A25" s="3" t="s">
        <v>12</v>
      </c>
      <c r="B25" s="4">
        <v>418.0</v>
      </c>
      <c r="C25" s="4">
        <v>76.0</v>
      </c>
      <c r="D25" s="4">
        <v>62.0</v>
      </c>
      <c r="E25" s="4">
        <v>11.0</v>
      </c>
      <c r="F25" s="4">
        <v>67.0</v>
      </c>
      <c r="G25" s="4">
        <v>12.0</v>
      </c>
    </row>
    <row r="26" ht="49.5" customHeight="1"/>
    <row r="27" ht="49.5" customHeight="1"/>
    <row r="28" ht="49.5" customHeight="1"/>
    <row r="29" ht="49.5" customHeight="1"/>
    <row r="30" ht="49.5" customHeight="1"/>
    <row r="31" ht="49.5" customHeight="1"/>
    <row r="32" ht="49.5" customHeight="1"/>
    <row r="33" ht="49.5" customHeight="1"/>
    <row r="34" ht="49.5" customHeight="1"/>
    <row r="35" ht="49.5" customHeight="1"/>
    <row r="36" ht="49.5" customHeight="1"/>
    <row r="37" ht="49.5" customHeight="1"/>
    <row r="38" ht="49.5" customHeight="1"/>
    <row r="39" ht="49.5" customHeight="1"/>
    <row r="40" ht="49.5" customHeight="1"/>
    <row r="41" ht="49.5" customHeight="1"/>
    <row r="42" ht="49.5" customHeight="1"/>
    <row r="43" ht="49.5" customHeight="1"/>
    <row r="44" ht="49.5" customHeight="1"/>
    <row r="45" ht="49.5" customHeight="1"/>
    <row r="46" ht="49.5" customHeight="1"/>
    <row r="47" ht="49.5" customHeight="1"/>
    <row r="48" ht="49.5" customHeight="1"/>
    <row r="49" ht="49.5" customHeight="1"/>
    <row r="50" ht="49.5" customHeight="1"/>
    <row r="51" ht="49.5" customHeight="1"/>
    <row r="52" ht="49.5" customHeight="1"/>
    <row r="53" ht="49.5" customHeight="1"/>
    <row r="54" ht="49.5" customHeight="1"/>
    <row r="55" ht="49.5" customHeight="1"/>
    <row r="56" ht="49.5" customHeight="1"/>
    <row r="57" ht="49.5" customHeight="1"/>
    <row r="58" ht="49.5" customHeight="1"/>
    <row r="59" ht="49.5" customHeight="1"/>
    <row r="60" ht="49.5" customHeight="1"/>
    <row r="61" ht="49.5" customHeight="1"/>
    <row r="62" ht="49.5" customHeight="1"/>
    <row r="63" ht="49.5" customHeight="1"/>
    <row r="64" ht="49.5" customHeight="1"/>
    <row r="65" ht="49.5" customHeight="1"/>
    <row r="66" ht="49.5" customHeight="1"/>
    <row r="67" ht="49.5" customHeight="1"/>
    <row r="68" ht="49.5" customHeight="1"/>
    <row r="69" ht="49.5" customHeight="1"/>
    <row r="70" ht="49.5" customHeight="1"/>
    <row r="71" ht="49.5" customHeight="1"/>
    <row r="72" ht="49.5" customHeight="1"/>
    <row r="73" ht="49.5" customHeight="1"/>
    <row r="74" ht="49.5" customHeight="1"/>
    <row r="75" ht="49.5" customHeight="1"/>
    <row r="76" ht="49.5" customHeight="1"/>
    <row r="77" ht="49.5" customHeight="1"/>
    <row r="78" ht="49.5" customHeight="1"/>
    <row r="79" ht="49.5" customHeight="1"/>
    <row r="80" ht="49.5" customHeight="1"/>
    <row r="81" ht="49.5" customHeight="1"/>
    <row r="82" ht="49.5" customHeight="1"/>
    <row r="83" ht="49.5" customHeight="1"/>
    <row r="84" ht="49.5" customHeight="1"/>
    <row r="85" ht="49.5" customHeight="1"/>
    <row r="86" ht="49.5" customHeight="1"/>
    <row r="87" ht="49.5" customHeight="1"/>
    <row r="88" ht="49.5" customHeight="1"/>
    <row r="89" ht="49.5" customHeight="1"/>
    <row r="90" ht="49.5" customHeight="1"/>
    <row r="91" ht="49.5" customHeight="1"/>
    <row r="92" ht="49.5" customHeight="1"/>
    <row r="93" ht="49.5" customHeight="1"/>
    <row r="94" ht="49.5" customHeight="1"/>
    <row r="95" ht="49.5" customHeight="1"/>
    <row r="96" ht="49.5" customHeight="1"/>
    <row r="97" ht="49.5" customHeight="1"/>
    <row r="98" ht="49.5" customHeight="1"/>
    <row r="99" ht="49.5" customHeight="1"/>
    <row r="100" ht="49.5" customHeight="1"/>
    <row r="101" ht="49.5" customHeight="1"/>
    <row r="102" ht="49.5" customHeight="1"/>
    <row r="103" ht="49.5" customHeight="1"/>
    <row r="104" ht="49.5" customHeight="1"/>
    <row r="105" ht="49.5" customHeight="1"/>
    <row r="106" ht="49.5" customHeight="1"/>
    <row r="107" ht="49.5" customHeight="1"/>
    <row r="108" ht="49.5" customHeight="1"/>
    <row r="109" ht="49.5" customHeight="1"/>
    <row r="110" ht="49.5" customHeight="1"/>
    <row r="111" ht="49.5" customHeight="1"/>
    <row r="112" ht="49.5" customHeight="1"/>
    <row r="113" ht="49.5" customHeight="1"/>
    <row r="114" ht="49.5" customHeight="1"/>
    <row r="115" ht="49.5" customHeight="1"/>
    <row r="116" ht="49.5" customHeight="1"/>
    <row r="117" ht="49.5" customHeight="1"/>
    <row r="118" ht="49.5" customHeight="1"/>
    <row r="119" ht="49.5" customHeight="1"/>
    <row r="120" ht="49.5" customHeight="1"/>
    <row r="121" ht="49.5" customHeight="1"/>
    <row r="122" ht="49.5" customHeight="1"/>
    <row r="123" ht="49.5" customHeight="1"/>
    <row r="124" ht="49.5" customHeight="1"/>
    <row r="125" ht="49.5" customHeight="1"/>
    <row r="126" ht="49.5" customHeight="1"/>
    <row r="127" ht="49.5" customHeight="1"/>
    <row r="128" ht="49.5" customHeight="1"/>
    <row r="129" ht="49.5" customHeight="1"/>
    <row r="130" ht="49.5" customHeight="1"/>
    <row r="131" ht="49.5" customHeight="1"/>
    <row r="132" ht="49.5" customHeight="1"/>
    <row r="133" ht="49.5" customHeight="1"/>
    <row r="134" ht="49.5" customHeight="1"/>
    <row r="135" ht="49.5" customHeight="1"/>
    <row r="136" ht="49.5" customHeight="1"/>
    <row r="137" ht="49.5" customHeight="1"/>
    <row r="138" ht="49.5" customHeight="1"/>
    <row r="139" ht="49.5" customHeight="1"/>
    <row r="140" ht="49.5" customHeight="1"/>
    <row r="141" ht="49.5" customHeight="1"/>
    <row r="142" ht="49.5" customHeight="1"/>
    <row r="143" ht="49.5" customHeight="1"/>
    <row r="144" ht="49.5" customHeight="1"/>
    <row r="145" ht="49.5" customHeight="1"/>
    <row r="146" ht="49.5" customHeight="1"/>
    <row r="147" ht="49.5" customHeight="1"/>
    <row r="148" ht="49.5" customHeight="1"/>
    <row r="149" ht="49.5" customHeight="1"/>
    <row r="150" ht="49.5" customHeight="1"/>
    <row r="151" ht="49.5" customHeight="1"/>
    <row r="152" ht="49.5" customHeight="1"/>
    <row r="153" ht="49.5" customHeight="1"/>
    <row r="154" ht="49.5" customHeight="1"/>
    <row r="155" ht="49.5" customHeight="1"/>
    <row r="156" ht="49.5" customHeight="1"/>
    <row r="157" ht="49.5" customHeight="1"/>
    <row r="158" ht="49.5" customHeight="1"/>
    <row r="159" ht="49.5" customHeight="1"/>
    <row r="160" ht="49.5" customHeight="1"/>
    <row r="161" ht="49.5" customHeight="1"/>
    <row r="162" ht="49.5" customHeight="1"/>
    <row r="163" ht="49.5" customHeight="1"/>
    <row r="164" ht="49.5" customHeight="1"/>
    <row r="165" ht="49.5" customHeight="1"/>
    <row r="166" ht="49.5" customHeight="1"/>
    <row r="167" ht="49.5" customHeight="1"/>
    <row r="168" ht="49.5" customHeight="1"/>
    <row r="169" ht="49.5" customHeight="1"/>
    <row r="170" ht="49.5" customHeight="1"/>
    <row r="171" ht="49.5" customHeight="1"/>
    <row r="172" ht="49.5" customHeight="1"/>
    <row r="173" ht="49.5" customHeight="1"/>
    <row r="174" ht="49.5" customHeight="1"/>
    <row r="175" ht="49.5" customHeight="1"/>
    <row r="176" ht="49.5" customHeight="1"/>
    <row r="177" ht="49.5" customHeight="1"/>
    <row r="178" ht="49.5" customHeight="1"/>
    <row r="179" ht="49.5" customHeight="1"/>
    <row r="180" ht="49.5" customHeight="1"/>
    <row r="181" ht="49.5" customHeight="1"/>
    <row r="182" ht="49.5" customHeight="1"/>
    <row r="183" ht="49.5" customHeight="1"/>
    <row r="184" ht="49.5" customHeight="1"/>
    <row r="185" ht="49.5" customHeight="1"/>
    <row r="186" ht="49.5" customHeight="1"/>
    <row r="187" ht="49.5" customHeight="1"/>
    <row r="188" ht="49.5" customHeight="1"/>
    <row r="189" ht="49.5" customHeight="1"/>
    <row r="190" ht="49.5" customHeight="1"/>
    <row r="191" ht="49.5" customHeight="1"/>
    <row r="192" ht="49.5" customHeight="1"/>
    <row r="193" ht="49.5" customHeight="1"/>
    <row r="194" ht="49.5" customHeight="1"/>
    <row r="195" ht="49.5" customHeight="1"/>
    <row r="196" ht="49.5" customHeight="1"/>
    <row r="197" ht="49.5" customHeight="1"/>
    <row r="198" ht="49.5" customHeight="1"/>
    <row r="199" ht="49.5" customHeight="1"/>
    <row r="200" ht="49.5" customHeight="1"/>
    <row r="201" ht="49.5" customHeight="1"/>
    <row r="202" ht="49.5" customHeight="1"/>
    <row r="203" ht="49.5" customHeight="1"/>
    <row r="204" ht="49.5" customHeight="1"/>
    <row r="205" ht="49.5" customHeight="1"/>
    <row r="206" ht="49.5" customHeight="1"/>
    <row r="207" ht="49.5" customHeight="1"/>
    <row r="208" ht="49.5" customHeight="1"/>
    <row r="209" ht="49.5" customHeight="1"/>
    <row r="210" ht="49.5" customHeight="1"/>
    <row r="211" ht="49.5" customHeight="1"/>
    <row r="212" ht="49.5" customHeight="1"/>
    <row r="213" ht="49.5" customHeight="1"/>
    <row r="214" ht="49.5" customHeight="1"/>
    <row r="215" ht="49.5" customHeight="1"/>
    <row r="216" ht="49.5" customHeight="1"/>
    <row r="217" ht="49.5" customHeight="1"/>
    <row r="218" ht="49.5" customHeight="1"/>
    <row r="219" ht="49.5" customHeight="1"/>
    <row r="220" ht="49.5" customHeight="1"/>
    <row r="221" ht="49.5" customHeight="1"/>
    <row r="222" ht="49.5" customHeight="1"/>
    <row r="223" ht="49.5" customHeight="1"/>
    <row r="224" ht="49.5" customHeight="1"/>
    <row r="225" ht="49.5" customHeight="1"/>
    <row r="226" ht="49.5" customHeight="1"/>
    <row r="227" ht="49.5" customHeight="1"/>
    <row r="228" ht="49.5" customHeight="1"/>
    <row r="229" ht="49.5" customHeight="1"/>
    <row r="230" ht="49.5" customHeight="1"/>
    <row r="231" ht="49.5" customHeight="1"/>
    <row r="232" ht="49.5" customHeight="1"/>
    <row r="233" ht="49.5" customHeight="1"/>
    <row r="234" ht="49.5" customHeight="1"/>
    <row r="235" ht="49.5" customHeight="1"/>
    <row r="236" ht="49.5" customHeight="1"/>
    <row r="237" ht="49.5" customHeight="1"/>
    <row r="238" ht="49.5" customHeight="1"/>
    <row r="239" ht="49.5" customHeight="1"/>
    <row r="240" ht="49.5" customHeight="1"/>
    <row r="241" ht="49.5" customHeight="1"/>
    <row r="242" ht="49.5" customHeight="1"/>
    <row r="243" ht="49.5" customHeight="1"/>
    <row r="244" ht="49.5" customHeight="1"/>
    <row r="245" ht="49.5" customHeight="1"/>
    <row r="246" ht="49.5" customHeight="1"/>
    <row r="247" ht="49.5" customHeight="1"/>
    <row r="248" ht="49.5" customHeight="1"/>
    <row r="249" ht="49.5" customHeight="1"/>
    <row r="250" ht="49.5" customHeight="1"/>
    <row r="251" ht="49.5" customHeight="1"/>
    <row r="252" ht="49.5" customHeight="1"/>
    <row r="253" ht="49.5" customHeight="1"/>
    <row r="254" ht="49.5" customHeight="1"/>
    <row r="255" ht="49.5" customHeight="1"/>
    <row r="256" ht="49.5" customHeight="1"/>
    <row r="257" ht="49.5" customHeight="1"/>
    <row r="258" ht="49.5" customHeight="1"/>
    <row r="259" ht="49.5" customHeight="1"/>
    <row r="260" ht="49.5" customHeight="1"/>
    <row r="261" ht="49.5" customHeight="1"/>
    <row r="262" ht="49.5" customHeight="1"/>
    <row r="263" ht="49.5" customHeight="1"/>
    <row r="264" ht="49.5" customHeight="1"/>
    <row r="265" ht="49.5" customHeight="1"/>
    <row r="266" ht="49.5" customHeight="1"/>
    <row r="267" ht="49.5" customHeight="1"/>
    <row r="268" ht="49.5" customHeight="1"/>
    <row r="269" ht="49.5" customHeight="1"/>
    <row r="270" ht="49.5" customHeight="1"/>
    <row r="271" ht="49.5" customHeight="1"/>
    <row r="272" ht="49.5" customHeight="1"/>
    <row r="273" ht="49.5" customHeight="1"/>
    <row r="274" ht="49.5" customHeight="1"/>
    <row r="275" ht="49.5" customHeight="1"/>
    <row r="276" ht="49.5" customHeight="1"/>
    <row r="277" ht="49.5" customHeight="1"/>
    <row r="278" ht="49.5" customHeight="1"/>
    <row r="279" ht="49.5" customHeight="1"/>
    <row r="280" ht="49.5" customHeight="1"/>
    <row r="281" ht="49.5" customHeight="1"/>
    <row r="282" ht="49.5" customHeight="1"/>
    <row r="283" ht="49.5" customHeight="1"/>
    <row r="284" ht="49.5" customHeight="1"/>
    <row r="285" ht="49.5" customHeight="1"/>
    <row r="286" ht="49.5" customHeight="1"/>
    <row r="287" ht="49.5" customHeight="1"/>
    <row r="288" ht="49.5" customHeight="1"/>
    <row r="289" ht="49.5" customHeight="1"/>
    <row r="290" ht="49.5" customHeight="1"/>
    <row r="291" ht="49.5" customHeight="1"/>
    <row r="292" ht="49.5" customHeight="1"/>
    <row r="293" ht="49.5" customHeight="1"/>
    <row r="294" ht="49.5" customHeight="1"/>
    <row r="295" ht="49.5" customHeight="1"/>
    <row r="296" ht="49.5" customHeight="1"/>
    <row r="297" ht="49.5" customHeight="1"/>
    <row r="298" ht="49.5" customHeight="1"/>
    <row r="299" ht="49.5" customHeight="1"/>
    <row r="300" ht="49.5" customHeight="1"/>
    <row r="301" ht="49.5" customHeight="1"/>
    <row r="302" ht="49.5" customHeight="1"/>
    <row r="303" ht="49.5" customHeight="1"/>
    <row r="304" ht="49.5" customHeight="1"/>
    <row r="305" ht="49.5" customHeight="1"/>
    <row r="306" ht="49.5" customHeight="1"/>
    <row r="307" ht="49.5" customHeight="1"/>
    <row r="308" ht="49.5" customHeight="1"/>
    <row r="309" ht="49.5" customHeight="1"/>
    <row r="310" ht="49.5" customHeight="1"/>
    <row r="311" ht="49.5" customHeight="1"/>
    <row r="312" ht="49.5" customHeight="1"/>
    <row r="313" ht="49.5" customHeight="1"/>
    <row r="314" ht="49.5" customHeight="1"/>
    <row r="315" ht="49.5" customHeight="1"/>
    <row r="316" ht="49.5" customHeight="1"/>
    <row r="317" ht="49.5" customHeight="1"/>
    <row r="318" ht="49.5" customHeight="1"/>
    <row r="319" ht="49.5" customHeight="1"/>
    <row r="320" ht="49.5" customHeight="1"/>
    <row r="321" ht="49.5" customHeight="1"/>
    <row r="322" ht="49.5" customHeight="1"/>
    <row r="323" ht="49.5" customHeight="1"/>
    <row r="324" ht="49.5" customHeight="1"/>
    <row r="325" ht="49.5" customHeight="1"/>
    <row r="326" ht="49.5" customHeight="1"/>
    <row r="327" ht="49.5" customHeight="1"/>
    <row r="328" ht="49.5" customHeight="1"/>
    <row r="329" ht="49.5" customHeight="1"/>
    <row r="330" ht="49.5" customHeight="1"/>
    <row r="331" ht="49.5" customHeight="1"/>
    <row r="332" ht="49.5" customHeight="1"/>
    <row r="333" ht="49.5" customHeight="1"/>
    <row r="334" ht="49.5" customHeight="1"/>
    <row r="335" ht="49.5" customHeight="1"/>
    <row r="336" ht="49.5" customHeight="1"/>
    <row r="337" ht="49.5" customHeight="1"/>
    <row r="338" ht="49.5" customHeight="1"/>
    <row r="339" ht="49.5" customHeight="1"/>
    <row r="340" ht="49.5" customHeight="1"/>
    <row r="341" ht="49.5" customHeight="1"/>
    <row r="342" ht="49.5" customHeight="1"/>
    <row r="343" ht="49.5" customHeight="1"/>
    <row r="344" ht="49.5" customHeight="1"/>
    <row r="345" ht="49.5" customHeight="1"/>
    <row r="346" ht="49.5" customHeight="1"/>
    <row r="347" ht="49.5" customHeight="1"/>
    <row r="348" ht="49.5" customHeight="1"/>
    <row r="349" ht="49.5" customHeight="1"/>
    <row r="350" ht="49.5" customHeight="1"/>
    <row r="351" ht="49.5" customHeight="1"/>
    <row r="352" ht="49.5" customHeight="1"/>
    <row r="353" ht="49.5" customHeight="1"/>
    <row r="354" ht="49.5" customHeight="1"/>
    <row r="355" ht="49.5" customHeight="1"/>
    <row r="356" ht="49.5" customHeight="1"/>
    <row r="357" ht="49.5" customHeight="1"/>
    <row r="358" ht="49.5" customHeight="1"/>
    <row r="359" ht="49.5" customHeight="1"/>
    <row r="360" ht="49.5" customHeight="1"/>
    <row r="361" ht="49.5" customHeight="1"/>
    <row r="362" ht="49.5" customHeight="1"/>
    <row r="363" ht="49.5" customHeight="1"/>
    <row r="364" ht="49.5" customHeight="1"/>
    <row r="365" ht="49.5" customHeight="1"/>
    <row r="366" ht="49.5" customHeight="1"/>
    <row r="367" ht="49.5" customHeight="1"/>
    <row r="368" ht="49.5" customHeight="1"/>
    <row r="369" ht="49.5" customHeight="1"/>
    <row r="370" ht="49.5" customHeight="1"/>
    <row r="371" ht="49.5" customHeight="1"/>
    <row r="372" ht="49.5" customHeight="1"/>
    <row r="373" ht="49.5" customHeight="1"/>
    <row r="374" ht="49.5" customHeight="1"/>
    <row r="375" ht="49.5" customHeight="1"/>
    <row r="376" ht="49.5" customHeight="1"/>
    <row r="377" ht="49.5" customHeight="1"/>
    <row r="378" ht="49.5" customHeight="1"/>
    <row r="379" ht="49.5" customHeight="1"/>
    <row r="380" ht="49.5" customHeight="1"/>
    <row r="381" ht="49.5" customHeight="1"/>
    <row r="382" ht="49.5" customHeight="1"/>
    <row r="383" ht="49.5" customHeight="1"/>
    <row r="384" ht="49.5" customHeight="1"/>
    <row r="385" ht="49.5" customHeight="1"/>
    <row r="386" ht="49.5" customHeight="1"/>
    <row r="387" ht="49.5" customHeight="1"/>
    <row r="388" ht="49.5" customHeight="1"/>
    <row r="389" ht="49.5" customHeight="1"/>
    <row r="390" ht="49.5" customHeight="1"/>
    <row r="391" ht="49.5" customHeight="1"/>
    <row r="392" ht="49.5" customHeight="1"/>
    <row r="393" ht="49.5" customHeight="1"/>
    <row r="394" ht="49.5" customHeight="1"/>
    <row r="395" ht="49.5" customHeight="1"/>
    <row r="396" ht="49.5" customHeight="1"/>
    <row r="397" ht="49.5" customHeight="1"/>
    <row r="398" ht="49.5" customHeight="1"/>
    <row r="399" ht="49.5" customHeight="1"/>
    <row r="400" ht="49.5" customHeight="1"/>
    <row r="401" ht="49.5" customHeight="1"/>
    <row r="402" ht="49.5" customHeight="1"/>
    <row r="403" ht="49.5" customHeight="1"/>
    <row r="404" ht="49.5" customHeight="1"/>
    <row r="405" ht="49.5" customHeight="1"/>
    <row r="406" ht="49.5" customHeight="1"/>
    <row r="407" ht="49.5" customHeight="1"/>
    <row r="408" ht="49.5" customHeight="1"/>
    <row r="409" ht="49.5" customHeight="1"/>
    <row r="410" ht="49.5" customHeight="1"/>
    <row r="411" ht="49.5" customHeight="1"/>
    <row r="412" ht="49.5" customHeight="1"/>
    <row r="413" ht="49.5" customHeight="1"/>
    <row r="414" ht="49.5" customHeight="1"/>
    <row r="415" ht="49.5" customHeight="1"/>
    <row r="416" ht="49.5" customHeight="1"/>
    <row r="417" ht="49.5" customHeight="1"/>
    <row r="418" ht="49.5" customHeight="1"/>
    <row r="419" ht="49.5" customHeight="1"/>
    <row r="420" ht="49.5" customHeight="1"/>
    <row r="421" ht="49.5" customHeight="1"/>
    <row r="422" ht="49.5" customHeight="1"/>
    <row r="423" ht="49.5" customHeight="1"/>
    <row r="424" ht="49.5" customHeight="1"/>
    <row r="425" ht="49.5" customHeight="1"/>
    <row r="426" ht="49.5" customHeight="1"/>
    <row r="427" ht="49.5" customHeight="1"/>
    <row r="428" ht="49.5" customHeight="1"/>
    <row r="429" ht="49.5" customHeight="1"/>
    <row r="430" ht="49.5" customHeight="1"/>
    <row r="431" ht="49.5" customHeight="1"/>
    <row r="432" ht="49.5" customHeight="1"/>
    <row r="433" ht="49.5" customHeight="1"/>
    <row r="434" ht="49.5" customHeight="1"/>
    <row r="435" ht="49.5" customHeight="1"/>
    <row r="436" ht="49.5" customHeight="1"/>
    <row r="437" ht="49.5" customHeight="1"/>
    <row r="438" ht="49.5" customHeight="1"/>
    <row r="439" ht="49.5" customHeight="1"/>
    <row r="440" ht="49.5" customHeight="1"/>
    <row r="441" ht="49.5" customHeight="1"/>
    <row r="442" ht="49.5" customHeight="1"/>
    <row r="443" ht="49.5" customHeight="1"/>
    <row r="444" ht="49.5" customHeight="1"/>
    <row r="445" ht="49.5" customHeight="1"/>
    <row r="446" ht="49.5" customHeight="1"/>
    <row r="447" ht="49.5" customHeight="1"/>
    <row r="448" ht="49.5" customHeight="1"/>
    <row r="449" ht="49.5" customHeight="1"/>
    <row r="450" ht="49.5" customHeight="1"/>
    <row r="451" ht="49.5" customHeight="1"/>
    <row r="452" ht="49.5" customHeight="1"/>
    <row r="453" ht="49.5" customHeight="1"/>
    <row r="454" ht="49.5" customHeight="1"/>
    <row r="455" ht="49.5" customHeight="1"/>
    <row r="456" ht="49.5" customHeight="1"/>
    <row r="457" ht="49.5" customHeight="1"/>
    <row r="458" ht="49.5" customHeight="1"/>
    <row r="459" ht="49.5" customHeight="1"/>
    <row r="460" ht="49.5" customHeight="1"/>
    <row r="461" ht="49.5" customHeight="1"/>
    <row r="462" ht="49.5" customHeight="1"/>
    <row r="463" ht="49.5" customHeight="1"/>
    <row r="464" ht="49.5" customHeight="1"/>
    <row r="465" ht="49.5" customHeight="1"/>
    <row r="466" ht="49.5" customHeight="1"/>
    <row r="467" ht="49.5" customHeight="1"/>
    <row r="468" ht="49.5" customHeight="1"/>
    <row r="469" ht="49.5" customHeight="1"/>
    <row r="470" ht="49.5" customHeight="1"/>
    <row r="471" ht="49.5" customHeight="1"/>
    <row r="472" ht="49.5" customHeight="1"/>
    <row r="473" ht="49.5" customHeight="1"/>
    <row r="474" ht="49.5" customHeight="1"/>
    <row r="475" ht="49.5" customHeight="1"/>
    <row r="476" ht="49.5" customHeight="1"/>
    <row r="477" ht="49.5" customHeight="1"/>
    <row r="478" ht="49.5" customHeight="1"/>
    <row r="479" ht="49.5" customHeight="1"/>
    <row r="480" ht="49.5" customHeight="1"/>
    <row r="481" ht="49.5" customHeight="1"/>
    <row r="482" ht="49.5" customHeight="1"/>
    <row r="483" ht="49.5" customHeight="1"/>
    <row r="484" ht="49.5" customHeight="1"/>
    <row r="485" ht="49.5" customHeight="1"/>
    <row r="486" ht="49.5" customHeight="1"/>
    <row r="487" ht="49.5" customHeight="1"/>
    <row r="488" ht="49.5" customHeight="1"/>
    <row r="489" ht="49.5" customHeight="1"/>
    <row r="490" ht="49.5" customHeight="1"/>
    <row r="491" ht="49.5" customHeight="1"/>
    <row r="492" ht="49.5" customHeight="1"/>
    <row r="493" ht="49.5" customHeight="1"/>
    <row r="494" ht="49.5" customHeight="1"/>
    <row r="495" ht="49.5" customHeight="1"/>
    <row r="496" ht="49.5" customHeight="1"/>
    <row r="497" ht="49.5" customHeight="1"/>
    <row r="498" ht="49.5" customHeight="1"/>
    <row r="499" ht="49.5" customHeight="1"/>
    <row r="500" ht="49.5" customHeight="1"/>
    <row r="501" ht="49.5" customHeight="1"/>
    <row r="502" ht="49.5" customHeight="1"/>
    <row r="503" ht="49.5" customHeight="1"/>
    <row r="504" ht="49.5" customHeight="1"/>
    <row r="505" ht="49.5" customHeight="1"/>
    <row r="506" ht="49.5" customHeight="1"/>
    <row r="507" ht="49.5" customHeight="1"/>
    <row r="508" ht="49.5" customHeight="1"/>
    <row r="509" ht="49.5" customHeight="1"/>
    <row r="510" ht="49.5" customHeight="1"/>
    <row r="511" ht="49.5" customHeight="1"/>
    <row r="512" ht="49.5" customHeight="1"/>
    <row r="513" ht="49.5" customHeight="1"/>
    <row r="514" ht="49.5" customHeight="1"/>
    <row r="515" ht="49.5" customHeight="1"/>
    <row r="516" ht="49.5" customHeight="1"/>
    <row r="517" ht="49.5" customHeight="1"/>
    <row r="518" ht="49.5" customHeight="1"/>
    <row r="519" ht="49.5" customHeight="1"/>
    <row r="520" ht="49.5" customHeight="1"/>
    <row r="521" ht="49.5" customHeight="1"/>
    <row r="522" ht="49.5" customHeight="1"/>
    <row r="523" ht="49.5" customHeight="1"/>
    <row r="524" ht="49.5" customHeight="1"/>
    <row r="525" ht="49.5" customHeight="1"/>
    <row r="526" ht="49.5" customHeight="1"/>
    <row r="527" ht="49.5" customHeight="1"/>
    <row r="528" ht="49.5" customHeight="1"/>
    <row r="529" ht="49.5" customHeight="1"/>
    <row r="530" ht="49.5" customHeight="1"/>
    <row r="531" ht="49.5" customHeight="1"/>
    <row r="532" ht="49.5" customHeight="1"/>
    <row r="533" ht="49.5" customHeight="1"/>
    <row r="534" ht="49.5" customHeight="1"/>
    <row r="535" ht="49.5" customHeight="1"/>
    <row r="536" ht="49.5" customHeight="1"/>
    <row r="537" ht="49.5" customHeight="1"/>
    <row r="538" ht="49.5" customHeight="1"/>
    <row r="539" ht="49.5" customHeight="1"/>
    <row r="540" ht="49.5" customHeight="1"/>
    <row r="541" ht="49.5" customHeight="1"/>
    <row r="542" ht="49.5" customHeight="1"/>
    <row r="543" ht="49.5" customHeight="1"/>
    <row r="544" ht="49.5" customHeight="1"/>
    <row r="545" ht="49.5" customHeight="1"/>
    <row r="546" ht="49.5" customHeight="1"/>
    <row r="547" ht="49.5" customHeight="1"/>
    <row r="548" ht="49.5" customHeight="1"/>
    <row r="549" ht="49.5" customHeight="1"/>
    <row r="550" ht="49.5" customHeight="1"/>
    <row r="551" ht="49.5" customHeight="1"/>
    <row r="552" ht="49.5" customHeight="1"/>
    <row r="553" ht="49.5" customHeight="1"/>
    <row r="554" ht="49.5" customHeight="1"/>
    <row r="555" ht="49.5" customHeight="1"/>
    <row r="556" ht="49.5" customHeight="1"/>
    <row r="557" ht="49.5" customHeight="1"/>
    <row r="558" ht="49.5" customHeight="1"/>
    <row r="559" ht="49.5" customHeight="1"/>
    <row r="560" ht="49.5" customHeight="1"/>
    <row r="561" ht="49.5" customHeight="1"/>
    <row r="562" ht="49.5" customHeight="1"/>
    <row r="563" ht="49.5" customHeight="1"/>
    <row r="564" ht="49.5" customHeight="1"/>
    <row r="565" ht="49.5" customHeight="1"/>
    <row r="566" ht="49.5" customHeight="1"/>
    <row r="567" ht="49.5" customHeight="1"/>
    <row r="568" ht="49.5" customHeight="1"/>
    <row r="569" ht="49.5" customHeight="1"/>
    <row r="570" ht="49.5" customHeight="1"/>
    <row r="571" ht="49.5" customHeight="1"/>
    <row r="572" ht="49.5" customHeight="1"/>
    <row r="573" ht="49.5" customHeight="1"/>
    <row r="574" ht="49.5" customHeight="1"/>
    <row r="575" ht="49.5" customHeight="1"/>
    <row r="576" ht="49.5" customHeight="1"/>
    <row r="577" ht="49.5" customHeight="1"/>
    <row r="578" ht="49.5" customHeight="1"/>
    <row r="579" ht="49.5" customHeight="1"/>
    <row r="580" ht="49.5" customHeight="1"/>
    <row r="581" ht="49.5" customHeight="1"/>
    <row r="582" ht="49.5" customHeight="1"/>
    <row r="583" ht="49.5" customHeight="1"/>
    <row r="584" ht="49.5" customHeight="1"/>
    <row r="585" ht="49.5" customHeight="1"/>
    <row r="586" ht="49.5" customHeight="1"/>
    <row r="587" ht="49.5" customHeight="1"/>
    <row r="588" ht="49.5" customHeight="1"/>
    <row r="589" ht="49.5" customHeight="1"/>
    <row r="590" ht="49.5" customHeight="1"/>
    <row r="591" ht="49.5" customHeight="1"/>
    <row r="592" ht="49.5" customHeight="1"/>
    <row r="593" ht="49.5" customHeight="1"/>
    <row r="594" ht="49.5" customHeight="1"/>
    <row r="595" ht="49.5" customHeight="1"/>
    <row r="596" ht="49.5" customHeight="1"/>
    <row r="597" ht="49.5" customHeight="1"/>
    <row r="598" ht="49.5" customHeight="1"/>
    <row r="599" ht="49.5" customHeight="1"/>
    <row r="600" ht="49.5" customHeight="1"/>
    <row r="601" ht="49.5" customHeight="1"/>
    <row r="602" ht="49.5" customHeight="1"/>
    <row r="603" ht="49.5" customHeight="1"/>
    <row r="604" ht="49.5" customHeight="1"/>
    <row r="605" ht="49.5" customHeight="1"/>
    <row r="606" ht="49.5" customHeight="1"/>
    <row r="607" ht="49.5" customHeight="1"/>
    <row r="608" ht="49.5" customHeight="1"/>
    <row r="609" ht="49.5" customHeight="1"/>
    <row r="610" ht="49.5" customHeight="1"/>
    <row r="611" ht="49.5" customHeight="1"/>
    <row r="612" ht="49.5" customHeight="1"/>
    <row r="613" ht="49.5" customHeight="1"/>
    <row r="614" ht="49.5" customHeight="1"/>
    <row r="615" ht="49.5" customHeight="1"/>
    <row r="616" ht="49.5" customHeight="1"/>
    <row r="617" ht="49.5" customHeight="1"/>
    <row r="618" ht="49.5" customHeight="1"/>
    <row r="619" ht="49.5" customHeight="1"/>
    <row r="620" ht="49.5" customHeight="1"/>
    <row r="621" ht="49.5" customHeight="1"/>
    <row r="622" ht="49.5" customHeight="1"/>
    <row r="623" ht="49.5" customHeight="1"/>
    <row r="624" ht="49.5" customHeight="1"/>
    <row r="625" ht="49.5" customHeight="1"/>
    <row r="626" ht="49.5" customHeight="1"/>
    <row r="627" ht="49.5" customHeight="1"/>
    <row r="628" ht="49.5" customHeight="1"/>
    <row r="629" ht="49.5" customHeight="1"/>
    <row r="630" ht="49.5" customHeight="1"/>
    <row r="631" ht="49.5" customHeight="1"/>
    <row r="632" ht="49.5" customHeight="1"/>
    <row r="633" ht="49.5" customHeight="1"/>
    <row r="634" ht="49.5" customHeight="1"/>
    <row r="635" ht="49.5" customHeight="1"/>
    <row r="636" ht="49.5" customHeight="1"/>
    <row r="637" ht="49.5" customHeight="1"/>
    <row r="638" ht="49.5" customHeight="1"/>
    <row r="639" ht="49.5" customHeight="1"/>
    <row r="640" ht="49.5" customHeight="1"/>
    <row r="641" ht="49.5" customHeight="1"/>
    <row r="642" ht="49.5" customHeight="1"/>
    <row r="643" ht="49.5" customHeight="1"/>
    <row r="644" ht="49.5" customHeight="1"/>
    <row r="645" ht="49.5" customHeight="1"/>
    <row r="646" ht="49.5" customHeight="1"/>
    <row r="647" ht="49.5" customHeight="1"/>
    <row r="648" ht="49.5" customHeight="1"/>
    <row r="649" ht="49.5" customHeight="1"/>
    <row r="650" ht="49.5" customHeight="1"/>
    <row r="651" ht="49.5" customHeight="1"/>
    <row r="652" ht="49.5" customHeight="1"/>
    <row r="653" ht="49.5" customHeight="1"/>
    <row r="654" ht="49.5" customHeight="1"/>
    <row r="655" ht="49.5" customHeight="1"/>
    <row r="656" ht="49.5" customHeight="1"/>
    <row r="657" ht="49.5" customHeight="1"/>
    <row r="658" ht="49.5" customHeight="1"/>
    <row r="659" ht="49.5" customHeight="1"/>
    <row r="660" ht="49.5" customHeight="1"/>
    <row r="661" ht="49.5" customHeight="1"/>
    <row r="662" ht="49.5" customHeight="1"/>
    <row r="663" ht="49.5" customHeight="1"/>
    <row r="664" ht="49.5" customHeight="1"/>
    <row r="665" ht="49.5" customHeight="1"/>
    <row r="666" ht="49.5" customHeight="1"/>
    <row r="667" ht="49.5" customHeight="1"/>
    <row r="668" ht="49.5" customHeight="1"/>
    <row r="669" ht="49.5" customHeight="1"/>
    <row r="670" ht="49.5" customHeight="1"/>
    <row r="671" ht="49.5" customHeight="1"/>
    <row r="672" ht="49.5" customHeight="1"/>
    <row r="673" ht="49.5" customHeight="1"/>
    <row r="674" ht="49.5" customHeight="1"/>
    <row r="675" ht="49.5" customHeight="1"/>
    <row r="676" ht="49.5" customHeight="1"/>
    <row r="677" ht="49.5" customHeight="1"/>
    <row r="678" ht="49.5" customHeight="1"/>
    <row r="679" ht="49.5" customHeight="1"/>
    <row r="680" ht="49.5" customHeight="1"/>
    <row r="681" ht="49.5" customHeight="1"/>
    <row r="682" ht="49.5" customHeight="1"/>
    <row r="683" ht="49.5" customHeight="1"/>
    <row r="684" ht="49.5" customHeight="1"/>
    <row r="685" ht="49.5" customHeight="1"/>
    <row r="686" ht="49.5" customHeight="1"/>
    <row r="687" ht="49.5" customHeight="1"/>
    <row r="688" ht="49.5" customHeight="1"/>
    <row r="689" ht="49.5" customHeight="1"/>
    <row r="690" ht="49.5" customHeight="1"/>
    <row r="691" ht="49.5" customHeight="1"/>
    <row r="692" ht="49.5" customHeight="1"/>
    <row r="693" ht="49.5" customHeight="1"/>
    <row r="694" ht="49.5" customHeight="1"/>
    <row r="695" ht="49.5" customHeight="1"/>
    <row r="696" ht="49.5" customHeight="1"/>
    <row r="697" ht="49.5" customHeight="1"/>
    <row r="698" ht="49.5" customHeight="1"/>
    <row r="699" ht="49.5" customHeight="1"/>
    <row r="700" ht="49.5" customHeight="1"/>
    <row r="701" ht="49.5" customHeight="1"/>
    <row r="702" ht="49.5" customHeight="1"/>
    <row r="703" ht="49.5" customHeight="1"/>
    <row r="704" ht="49.5" customHeight="1"/>
    <row r="705" ht="49.5" customHeight="1"/>
    <row r="706" ht="49.5" customHeight="1"/>
    <row r="707" ht="49.5" customHeight="1"/>
    <row r="708" ht="49.5" customHeight="1"/>
    <row r="709" ht="49.5" customHeight="1"/>
    <row r="710" ht="49.5" customHeight="1"/>
    <row r="711" ht="49.5" customHeight="1"/>
    <row r="712" ht="49.5" customHeight="1"/>
    <row r="713" ht="49.5" customHeight="1"/>
    <row r="714" ht="49.5" customHeight="1"/>
    <row r="715" ht="49.5" customHeight="1"/>
    <row r="716" ht="49.5" customHeight="1"/>
    <row r="717" ht="49.5" customHeight="1"/>
    <row r="718" ht="49.5" customHeight="1"/>
    <row r="719" ht="49.5" customHeight="1"/>
    <row r="720" ht="49.5" customHeight="1"/>
    <row r="721" ht="49.5" customHeight="1"/>
    <row r="722" ht="49.5" customHeight="1"/>
    <row r="723" ht="49.5" customHeight="1"/>
    <row r="724" ht="49.5" customHeight="1"/>
    <row r="725" ht="49.5" customHeight="1"/>
    <row r="726" ht="49.5" customHeight="1"/>
    <row r="727" ht="49.5" customHeight="1"/>
    <row r="728" ht="49.5" customHeight="1"/>
    <row r="729" ht="49.5" customHeight="1"/>
    <row r="730" ht="49.5" customHeight="1"/>
    <row r="731" ht="49.5" customHeight="1"/>
    <row r="732" ht="49.5" customHeight="1"/>
    <row r="733" ht="49.5" customHeight="1"/>
    <row r="734" ht="49.5" customHeight="1"/>
    <row r="735" ht="49.5" customHeight="1"/>
    <row r="736" ht="49.5" customHeight="1"/>
    <row r="737" ht="49.5" customHeight="1"/>
    <row r="738" ht="49.5" customHeight="1"/>
    <row r="739" ht="49.5" customHeight="1"/>
    <row r="740" ht="49.5" customHeight="1"/>
    <row r="741" ht="49.5" customHeight="1"/>
    <row r="742" ht="49.5" customHeight="1"/>
    <row r="743" ht="49.5" customHeight="1"/>
    <row r="744" ht="49.5" customHeight="1"/>
    <row r="745" ht="49.5" customHeight="1"/>
    <row r="746" ht="49.5" customHeight="1"/>
    <row r="747" ht="49.5" customHeight="1"/>
    <row r="748" ht="49.5" customHeight="1"/>
    <row r="749" ht="49.5" customHeight="1"/>
    <row r="750" ht="49.5" customHeight="1"/>
    <row r="751" ht="49.5" customHeight="1"/>
    <row r="752" ht="49.5" customHeight="1"/>
    <row r="753" ht="49.5" customHeight="1"/>
    <row r="754" ht="49.5" customHeight="1"/>
    <row r="755" ht="49.5" customHeight="1"/>
    <row r="756" ht="49.5" customHeight="1"/>
    <row r="757" ht="49.5" customHeight="1"/>
    <row r="758" ht="49.5" customHeight="1"/>
    <row r="759" ht="49.5" customHeight="1"/>
    <row r="760" ht="49.5" customHeight="1"/>
    <row r="761" ht="49.5" customHeight="1"/>
    <row r="762" ht="49.5" customHeight="1"/>
    <row r="763" ht="49.5" customHeight="1"/>
    <row r="764" ht="49.5" customHeight="1"/>
    <row r="765" ht="49.5" customHeight="1"/>
    <row r="766" ht="49.5" customHeight="1"/>
    <row r="767" ht="49.5" customHeight="1"/>
    <row r="768" ht="49.5" customHeight="1"/>
    <row r="769" ht="49.5" customHeight="1"/>
    <row r="770" ht="49.5" customHeight="1"/>
    <row r="771" ht="49.5" customHeight="1"/>
    <row r="772" ht="49.5" customHeight="1"/>
    <row r="773" ht="49.5" customHeight="1"/>
    <row r="774" ht="49.5" customHeight="1"/>
    <row r="775" ht="49.5" customHeight="1"/>
    <row r="776" ht="49.5" customHeight="1"/>
    <row r="777" ht="49.5" customHeight="1"/>
    <row r="778" ht="49.5" customHeight="1"/>
    <row r="779" ht="49.5" customHeight="1"/>
    <row r="780" ht="49.5" customHeight="1"/>
    <row r="781" ht="49.5" customHeight="1"/>
    <row r="782" ht="49.5" customHeight="1"/>
    <row r="783" ht="49.5" customHeight="1"/>
    <row r="784" ht="49.5" customHeight="1"/>
    <row r="785" ht="49.5" customHeight="1"/>
    <row r="786" ht="49.5" customHeight="1"/>
    <row r="787" ht="49.5" customHeight="1"/>
    <row r="788" ht="49.5" customHeight="1"/>
    <row r="789" ht="49.5" customHeight="1"/>
    <row r="790" ht="49.5" customHeight="1"/>
    <row r="791" ht="49.5" customHeight="1"/>
    <row r="792" ht="49.5" customHeight="1"/>
    <row r="793" ht="49.5" customHeight="1"/>
    <row r="794" ht="49.5" customHeight="1"/>
    <row r="795" ht="49.5" customHeight="1"/>
    <row r="796" ht="49.5" customHeight="1"/>
    <row r="797" ht="49.5" customHeight="1"/>
    <row r="798" ht="49.5" customHeight="1"/>
    <row r="799" ht="49.5" customHeight="1"/>
    <row r="800" ht="49.5" customHeight="1"/>
    <row r="801" ht="49.5" customHeight="1"/>
    <row r="802" ht="49.5" customHeight="1"/>
    <row r="803" ht="49.5" customHeight="1"/>
    <row r="804" ht="49.5" customHeight="1"/>
    <row r="805" ht="49.5" customHeight="1"/>
    <row r="806" ht="49.5" customHeight="1"/>
    <row r="807" ht="49.5" customHeight="1"/>
    <row r="808" ht="49.5" customHeight="1"/>
    <row r="809" ht="49.5" customHeight="1"/>
    <row r="810" ht="49.5" customHeight="1"/>
    <row r="811" ht="49.5" customHeight="1"/>
    <row r="812" ht="49.5" customHeight="1"/>
    <row r="813" ht="49.5" customHeight="1"/>
    <row r="814" ht="49.5" customHeight="1"/>
    <row r="815" ht="49.5" customHeight="1"/>
    <row r="816" ht="49.5" customHeight="1"/>
    <row r="817" ht="49.5" customHeight="1"/>
    <row r="818" ht="49.5" customHeight="1"/>
    <row r="819" ht="49.5" customHeight="1"/>
    <row r="820" ht="49.5" customHeight="1"/>
    <row r="821" ht="49.5" customHeight="1"/>
    <row r="822" ht="49.5" customHeight="1"/>
    <row r="823" ht="49.5" customHeight="1"/>
    <row r="824" ht="49.5" customHeight="1"/>
    <row r="825" ht="49.5" customHeight="1"/>
    <row r="826" ht="49.5" customHeight="1"/>
    <row r="827" ht="49.5" customHeight="1"/>
    <row r="828" ht="49.5" customHeight="1"/>
    <row r="829" ht="49.5" customHeight="1"/>
    <row r="830" ht="49.5" customHeight="1"/>
    <row r="831" ht="49.5" customHeight="1"/>
    <row r="832" ht="49.5" customHeight="1"/>
    <row r="833" ht="49.5" customHeight="1"/>
    <row r="834" ht="49.5" customHeight="1"/>
    <row r="835" ht="49.5" customHeight="1"/>
    <row r="836" ht="49.5" customHeight="1"/>
    <row r="837" ht="49.5" customHeight="1"/>
    <row r="838" ht="49.5" customHeight="1"/>
    <row r="839" ht="49.5" customHeight="1"/>
    <row r="840" ht="49.5" customHeight="1"/>
    <row r="841" ht="49.5" customHeight="1"/>
    <row r="842" ht="49.5" customHeight="1"/>
    <row r="843" ht="49.5" customHeight="1"/>
    <row r="844" ht="49.5" customHeight="1"/>
    <row r="845" ht="49.5" customHeight="1"/>
    <row r="846" ht="49.5" customHeight="1"/>
    <row r="847" ht="49.5" customHeight="1"/>
    <row r="848" ht="49.5" customHeight="1"/>
    <row r="849" ht="49.5" customHeight="1"/>
    <row r="850" ht="49.5" customHeight="1"/>
    <row r="851" ht="49.5" customHeight="1"/>
    <row r="852" ht="49.5" customHeight="1"/>
    <row r="853" ht="49.5" customHeight="1"/>
    <row r="854" ht="49.5" customHeight="1"/>
    <row r="855" ht="49.5" customHeight="1"/>
    <row r="856" ht="49.5" customHeight="1"/>
    <row r="857" ht="49.5" customHeight="1"/>
    <row r="858" ht="49.5" customHeight="1"/>
    <row r="859" ht="49.5" customHeight="1"/>
    <row r="860" ht="49.5" customHeight="1"/>
    <row r="861" ht="49.5" customHeight="1"/>
    <row r="862" ht="49.5" customHeight="1"/>
    <row r="863" ht="49.5" customHeight="1"/>
    <row r="864" ht="49.5" customHeight="1"/>
    <row r="865" ht="49.5" customHeight="1"/>
    <row r="866" ht="49.5" customHeight="1"/>
    <row r="867" ht="49.5" customHeight="1"/>
    <row r="868" ht="49.5" customHeight="1"/>
    <row r="869" ht="49.5" customHeight="1"/>
    <row r="870" ht="49.5" customHeight="1"/>
    <row r="871" ht="49.5" customHeight="1"/>
    <row r="872" ht="49.5" customHeight="1"/>
    <row r="873" ht="49.5" customHeight="1"/>
    <row r="874" ht="49.5" customHeight="1"/>
    <row r="875" ht="49.5" customHeight="1"/>
    <row r="876" ht="49.5" customHeight="1"/>
    <row r="877" ht="49.5" customHeight="1"/>
    <row r="878" ht="49.5" customHeight="1"/>
    <row r="879" ht="49.5" customHeight="1"/>
    <row r="880" ht="49.5" customHeight="1"/>
    <row r="881" ht="49.5" customHeight="1"/>
    <row r="882" ht="49.5" customHeight="1"/>
    <row r="883" ht="49.5" customHeight="1"/>
    <row r="884" ht="49.5" customHeight="1"/>
    <row r="885" ht="49.5" customHeight="1"/>
    <row r="886" ht="49.5" customHeight="1"/>
    <row r="887" ht="49.5" customHeight="1"/>
    <row r="888" ht="49.5" customHeight="1"/>
    <row r="889" ht="49.5" customHeight="1"/>
    <row r="890" ht="49.5" customHeight="1"/>
    <row r="891" ht="49.5" customHeight="1"/>
    <row r="892" ht="49.5" customHeight="1"/>
    <row r="893" ht="49.5" customHeight="1"/>
    <row r="894" ht="49.5" customHeight="1"/>
    <row r="895" ht="49.5" customHeight="1"/>
    <row r="896" ht="49.5" customHeight="1"/>
    <row r="897" ht="49.5" customHeight="1"/>
    <row r="898" ht="49.5" customHeight="1"/>
    <row r="899" ht="49.5" customHeight="1"/>
    <row r="900" ht="49.5" customHeight="1"/>
    <row r="901" ht="49.5" customHeight="1"/>
    <row r="902" ht="49.5" customHeight="1"/>
    <row r="903" ht="49.5" customHeight="1"/>
    <row r="904" ht="49.5" customHeight="1"/>
    <row r="905" ht="49.5" customHeight="1"/>
    <row r="906" ht="49.5" customHeight="1"/>
    <row r="907" ht="49.5" customHeight="1"/>
    <row r="908" ht="49.5" customHeight="1"/>
    <row r="909" ht="49.5" customHeight="1"/>
    <row r="910" ht="49.5" customHeight="1"/>
    <row r="911" ht="49.5" customHeight="1"/>
    <row r="912" ht="49.5" customHeight="1"/>
    <row r="913" ht="49.5" customHeight="1"/>
    <row r="914" ht="49.5" customHeight="1"/>
    <row r="915" ht="49.5" customHeight="1"/>
    <row r="916" ht="49.5" customHeight="1"/>
    <row r="917" ht="49.5" customHeight="1"/>
    <row r="918" ht="49.5" customHeight="1"/>
    <row r="919" ht="49.5" customHeight="1"/>
    <row r="920" ht="49.5" customHeight="1"/>
    <row r="921" ht="49.5" customHeight="1"/>
    <row r="922" ht="49.5" customHeight="1"/>
    <row r="923" ht="49.5" customHeight="1"/>
    <row r="924" ht="49.5" customHeight="1"/>
    <row r="925" ht="49.5" customHeight="1"/>
    <row r="926" ht="49.5" customHeight="1"/>
    <row r="927" ht="49.5" customHeight="1"/>
    <row r="928" ht="49.5" customHeight="1"/>
    <row r="929" ht="49.5" customHeight="1"/>
    <row r="930" ht="49.5" customHeight="1"/>
    <row r="931" ht="49.5" customHeight="1"/>
    <row r="932" ht="49.5" customHeight="1"/>
    <row r="933" ht="49.5" customHeight="1"/>
    <row r="934" ht="49.5" customHeight="1"/>
    <row r="935" ht="49.5" customHeight="1"/>
    <row r="936" ht="49.5" customHeight="1"/>
    <row r="937" ht="49.5" customHeight="1"/>
    <row r="938" ht="49.5" customHeight="1"/>
    <row r="939" ht="49.5" customHeight="1"/>
    <row r="940" ht="49.5" customHeight="1"/>
    <row r="941" ht="49.5" customHeight="1"/>
    <row r="942" ht="49.5" customHeight="1"/>
    <row r="943" ht="49.5" customHeight="1"/>
    <row r="944" ht="49.5" customHeight="1"/>
    <row r="945" ht="49.5" customHeight="1"/>
    <row r="946" ht="49.5" customHeight="1"/>
    <row r="947" ht="49.5" customHeight="1"/>
    <row r="948" ht="49.5" customHeight="1"/>
    <row r="949" ht="49.5" customHeight="1"/>
    <row r="950" ht="49.5" customHeight="1"/>
    <row r="951" ht="49.5" customHeight="1"/>
    <row r="952" ht="49.5" customHeight="1"/>
    <row r="953" ht="49.5" customHeight="1"/>
    <row r="954" ht="49.5" customHeight="1"/>
    <row r="955" ht="49.5" customHeight="1"/>
    <row r="956" ht="49.5" customHeight="1"/>
    <row r="957" ht="49.5" customHeight="1"/>
    <row r="958" ht="49.5" customHeight="1"/>
    <row r="959" ht="49.5" customHeight="1"/>
    <row r="960" ht="49.5" customHeight="1"/>
    <row r="961" ht="49.5" customHeight="1"/>
    <row r="962" ht="49.5" customHeight="1"/>
    <row r="963" ht="49.5" customHeight="1"/>
    <row r="964" ht="49.5" customHeight="1"/>
    <row r="965" ht="49.5" customHeight="1"/>
    <row r="966" ht="49.5" customHeight="1"/>
    <row r="967" ht="49.5" customHeight="1"/>
    <row r="968" ht="49.5" customHeight="1"/>
    <row r="969" ht="49.5" customHeight="1"/>
    <row r="970" ht="49.5" customHeight="1"/>
    <row r="971" ht="49.5" customHeight="1"/>
    <row r="972" ht="49.5" customHeight="1"/>
    <row r="973" ht="49.5" customHeight="1"/>
    <row r="974" ht="49.5" customHeight="1"/>
    <row r="975" ht="49.5" customHeight="1"/>
    <row r="976" ht="49.5" customHeight="1"/>
    <row r="977" ht="49.5" customHeight="1"/>
    <row r="978" ht="49.5" customHeight="1"/>
    <row r="979" ht="49.5" customHeight="1"/>
    <row r="980" ht="49.5" customHeight="1"/>
    <row r="981" ht="49.5" customHeight="1"/>
    <row r="982" ht="49.5" customHeight="1"/>
    <row r="983" ht="49.5" customHeight="1"/>
    <row r="984" ht="49.5" customHeight="1"/>
    <row r="985" ht="49.5" customHeight="1"/>
    <row r="986" ht="49.5" customHeight="1"/>
    <row r="987" ht="49.5" customHeight="1"/>
    <row r="988" ht="49.5" customHeight="1"/>
    <row r="989" ht="49.5" customHeight="1"/>
    <row r="990" ht="49.5" customHeight="1"/>
    <row r="991" ht="49.5" customHeight="1"/>
    <row r="992" ht="49.5" customHeight="1"/>
    <row r="993" ht="49.5" customHeight="1"/>
    <row r="994" ht="49.5" customHeight="1"/>
    <row r="995" ht="49.5" customHeight="1"/>
    <row r="996" ht="49.5" customHeight="1"/>
    <row r="997" ht="49.5" customHeight="1"/>
    <row r="998" ht="49.5" customHeight="1"/>
    <row r="999" ht="49.5" customHeight="1"/>
    <row r="1000" ht="49.5" customHeight="1"/>
  </sheetData>
  <dataValidations>
    <dataValidation type="custom" allowBlank="1" showDropDown="1" sqref="B2:G2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